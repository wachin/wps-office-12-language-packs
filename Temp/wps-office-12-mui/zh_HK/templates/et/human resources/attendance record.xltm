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9010" windowHeight="12210" tabRatio="600" firstSheet="0" activeTab="0" autoFilterDateGrouping="1"/>
  </bookViews>
  <sheets>
    <sheet name="考勤表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宋体"/>
      <charset val="134"/>
      <family val="2"/>
      <color theme="1"/>
      <sz val="11"/>
      <scheme val="minor"/>
    </font>
    <font>
      <name val="宋体"/>
      <charset val="134"/>
      <family val="3"/>
      <color indexed="8"/>
      <sz val="11"/>
    </font>
    <font>
      <name val="微软雅黑"/>
      <charset val="134"/>
      <family val="2"/>
      <color indexed="8"/>
      <sz val="11"/>
    </font>
    <font>
      <name val="微软雅黑"/>
      <charset val="134"/>
      <family val="2"/>
      <color indexed="8"/>
      <sz val="10"/>
    </font>
    <font>
      <name val="微软雅黑"/>
      <charset val="134"/>
      <family val="2"/>
      <color indexed="8"/>
      <sz val="18"/>
    </font>
    <font>
      <name val="微软雅黑"/>
      <charset val="134"/>
      <family val="2"/>
      <color indexed="8"/>
      <sz val="9"/>
    </font>
    <font>
      <name val="Wingdings 2"/>
      <charset val="134"/>
      <family val="2"/>
      <color indexed="8"/>
      <sz val="10"/>
    </font>
    <font>
      <name val="宋体"/>
      <charset val="134"/>
      <family val="2"/>
      <sz val="9"/>
      <scheme val="minor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 applyAlignment="1">
      <alignment vertical="center"/>
    </xf>
  </cellStyleXfs>
  <cellXfs count="32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3" fillId="2" borderId="3" applyAlignment="1" pivotButton="0" quotePrefix="0" xfId="0">
      <alignment horizontal="center" vertical="center"/>
    </xf>
    <xf numFmtId="0" fontId="3" fillId="0" borderId="4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" fillId="0" borderId="5" applyAlignment="1" pivotButton="0" quotePrefix="0" xfId="0">
      <alignment vertical="center"/>
    </xf>
    <xf numFmtId="0" fontId="2" fillId="0" borderId="6" applyAlignment="1" pivotButton="0" quotePrefix="0" xfId="0">
      <alignment vertical="center"/>
    </xf>
    <xf numFmtId="0" fontId="3" fillId="0" borderId="7" applyAlignment="1" pivotButton="0" quotePrefix="0" xfId="0">
      <alignment horizontal="center" vertical="center"/>
    </xf>
    <xf numFmtId="0" fontId="2" fillId="0" borderId="8" applyAlignment="1" pivotButton="0" quotePrefix="0" xfId="0">
      <alignment vertical="center"/>
    </xf>
    <xf numFmtId="0" fontId="2" fillId="0" borderId="8" applyAlignment="1" pivotButton="0" quotePrefix="0" xfId="0">
      <alignment horizontal="center" vertical="center"/>
    </xf>
    <xf numFmtId="0" fontId="2" fillId="0" borderId="9" applyAlignment="1" pivotButton="0" quotePrefix="0" xfId="0">
      <alignment vertical="center"/>
    </xf>
    <xf numFmtId="0" fontId="3" fillId="0" borderId="10" applyAlignment="1" pivotButton="0" quotePrefix="0" xfId="0">
      <alignment horizontal="center" vertical="center"/>
    </xf>
    <xf numFmtId="0" fontId="2" fillId="0" borderId="11" applyAlignment="1" pivotButton="0" quotePrefix="0" xfId="0">
      <alignment vertical="center"/>
    </xf>
    <xf numFmtId="0" fontId="2" fillId="0" borderId="11" applyAlignment="1" pivotButton="0" quotePrefix="0" xfId="0">
      <alignment horizontal="center" vertical="center"/>
    </xf>
    <xf numFmtId="0" fontId="2" fillId="0" borderId="12" applyAlignment="1" pivotButton="0" quotePrefix="0" xfId="0">
      <alignment horizontal="center" vertical="center"/>
    </xf>
    <xf numFmtId="0" fontId="2" fillId="0" borderId="13" applyAlignment="1" pivotButton="0" quotePrefix="0" xfId="0">
      <alignment vertical="center"/>
    </xf>
    <xf numFmtId="0" fontId="2" fillId="0" borderId="0" pivotButton="0" quotePrefix="0" xfId="0"/>
    <xf numFmtId="0" fontId="3" fillId="0" borderId="0" pivotButton="0" quotePrefix="0" xfId="0"/>
    <xf numFmtId="0" fontId="2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vertical="center"/>
    </xf>
    <xf numFmtId="0" fontId="0" fillId="0" borderId="0" pivotButton="0" quotePrefix="0" xfId="0"/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O18"/>
  <sheetViews>
    <sheetView showGridLines="0" tabSelected="1" workbookViewId="0">
      <selection activeCell="A1" sqref="A1:AO1"/>
    </sheetView>
  </sheetViews>
  <sheetFormatPr baseColWidth="8" defaultRowHeight="13.5"/>
  <cols>
    <col width="3.75" customWidth="1" style="31" min="3" max="33"/>
    <col width="6.75" customWidth="1" style="31" min="34" max="40"/>
  </cols>
  <sheetData>
    <row r="1" ht="24.75" customHeight="1" s="31">
      <c r="A1" s="25" t="inlineStr">
        <is>
          <t>考       勤       表</t>
        </is>
      </c>
    </row>
    <row r="2" ht="25.5" customHeight="1" s="31" thickBot="1">
      <c r="A2" s="26" t="inlineStr">
        <is>
          <t>部門：</t>
        </is>
      </c>
      <c r="C2" s="25" t="n"/>
      <c r="D2" s="25" t="n"/>
      <c r="E2" s="25" t="n"/>
      <c r="F2" s="1" t="n"/>
      <c r="G2" s="1" t="n"/>
      <c r="H2" s="25" t="n"/>
      <c r="I2" s="25" t="n"/>
      <c r="J2" s="27" t="inlineStr">
        <is>
          <t>考勤員：</t>
        </is>
      </c>
      <c r="L2" s="27" t="n"/>
      <c r="M2" s="27" t="n"/>
      <c r="N2" s="27" t="n"/>
      <c r="O2" s="1" t="n"/>
      <c r="P2" s="1" t="n"/>
      <c r="Q2" s="1" t="n"/>
      <c r="R2" s="27" t="n"/>
      <c r="S2" s="25" t="n"/>
      <c r="T2" s="26" t="inlineStr">
        <is>
          <t>考勤時間：</t>
        </is>
      </c>
      <c r="W2" s="27" t="n"/>
      <c r="X2" s="27" t="n"/>
      <c r="Y2" s="27" t="n"/>
      <c r="Z2" s="27" t="n"/>
      <c r="AA2" s="27" t="n"/>
      <c r="AB2" s="25" t="n"/>
      <c r="AC2" s="25" t="n"/>
      <c r="AD2" s="25" t="n"/>
      <c r="AE2" s="25" t="n"/>
      <c r="AF2" s="25" t="n"/>
      <c r="AG2" s="25" t="n"/>
      <c r="AH2" s="25" t="n"/>
      <c r="AI2" s="25" t="n"/>
      <c r="AJ2" s="26" t="inlineStr">
        <is>
          <t>部門負責人簽字：</t>
        </is>
      </c>
      <c r="AM2" s="25" t="n"/>
      <c r="AN2" s="25" t="n"/>
      <c r="AO2" s="25" t="n"/>
    </row>
    <row r="3" ht="21.95" customHeight="1" s="31">
      <c r="A3" s="5" t="inlineStr">
        <is>
          <t>序號</t>
        </is>
      </c>
      <c r="B3" s="6" t="inlineStr">
        <is>
          <t>姓名</t>
        </is>
      </c>
      <c r="C3" s="6" t="n">
        <v>1</v>
      </c>
      <c r="D3" s="6" t="n">
        <v>2</v>
      </c>
      <c r="E3" s="6" t="n">
        <v>3</v>
      </c>
      <c r="F3" s="6" t="n">
        <v>4</v>
      </c>
      <c r="G3" s="6" t="n">
        <v>5</v>
      </c>
      <c r="H3" s="6" t="n">
        <v>6</v>
      </c>
      <c r="I3" s="6" t="n">
        <v>7</v>
      </c>
      <c r="J3" s="6" t="n">
        <v>8</v>
      </c>
      <c r="K3" s="6" t="n">
        <v>9</v>
      </c>
      <c r="L3" s="6" t="n">
        <v>10</v>
      </c>
      <c r="M3" s="6" t="n">
        <v>11</v>
      </c>
      <c r="N3" s="6" t="n">
        <v>12</v>
      </c>
      <c r="O3" s="6" t="n">
        <v>13</v>
      </c>
      <c r="P3" s="6" t="n">
        <v>14</v>
      </c>
      <c r="Q3" s="6" t="n">
        <v>15</v>
      </c>
      <c r="R3" s="6" t="n">
        <v>16</v>
      </c>
      <c r="S3" s="6" t="n">
        <v>17</v>
      </c>
      <c r="T3" s="6" t="n">
        <v>18</v>
      </c>
      <c r="U3" s="6" t="n">
        <v>19</v>
      </c>
      <c r="V3" s="6" t="n">
        <v>20</v>
      </c>
      <c r="W3" s="6" t="n">
        <v>21</v>
      </c>
      <c r="X3" s="6" t="n">
        <v>22</v>
      </c>
      <c r="Y3" s="6" t="n">
        <v>23</v>
      </c>
      <c r="Z3" s="6" t="n">
        <v>24</v>
      </c>
      <c r="AA3" s="6" t="n">
        <v>25</v>
      </c>
      <c r="AB3" s="6" t="n">
        <v>26</v>
      </c>
      <c r="AC3" s="6" t="n">
        <v>27</v>
      </c>
      <c r="AD3" s="6" t="n">
        <v>28</v>
      </c>
      <c r="AE3" s="6" t="n">
        <v>29</v>
      </c>
      <c r="AF3" s="6" t="n">
        <v>30</v>
      </c>
      <c r="AG3" s="6" t="n">
        <v>31</v>
      </c>
      <c r="AH3" s="6" t="inlineStr">
        <is>
          <t>出勤</t>
        </is>
      </c>
      <c r="AI3" s="6" t="inlineStr">
        <is>
          <t>病假</t>
        </is>
      </c>
      <c r="AJ3" s="6" t="inlineStr">
        <is>
          <t>事假</t>
        </is>
      </c>
      <c r="AK3" s="6" t="inlineStr">
        <is>
          <t>曠工</t>
        </is>
      </c>
      <c r="AL3" s="6" t="inlineStr">
        <is>
          <t>遲到</t>
        </is>
      </c>
      <c r="AM3" s="6" t="inlineStr">
        <is>
          <t>值班</t>
        </is>
      </c>
      <c r="AN3" s="6" t="inlineStr">
        <is>
          <t>補休</t>
        </is>
      </c>
      <c r="AO3" s="7" t="inlineStr">
        <is>
          <t>員工確認</t>
        </is>
      </c>
    </row>
    <row r="4" ht="21.95" customHeight="1" s="31">
      <c r="A4" s="8" t="n">
        <v>1</v>
      </c>
      <c r="B4" s="9" t="inlineStr">
        <is>
          <t>張三</t>
        </is>
      </c>
      <c r="C4" s="10" t="inlineStr">
        <is>
          <t>√</t>
        </is>
      </c>
      <c r="D4" s="10" t="inlineStr">
        <is>
          <t>×</t>
        </is>
      </c>
      <c r="E4" s="10" t="inlineStr">
        <is>
          <t>×</t>
        </is>
      </c>
      <c r="F4" s="10" t="inlineStr">
        <is>
          <t>△</t>
        </is>
      </c>
      <c r="G4" s="10" t="inlineStr">
        <is>
          <t xml:space="preserve">≈ </t>
        </is>
      </c>
      <c r="H4" s="10" t="inlineStr">
        <is>
          <t>◆</t>
        </is>
      </c>
      <c r="I4" s="10" t="inlineStr">
        <is>
          <t>∷</t>
        </is>
      </c>
      <c r="J4" s="10" t="inlineStr">
        <is>
          <t>√</t>
        </is>
      </c>
      <c r="K4" s="10" t="inlineStr">
        <is>
          <t>C</t>
        </is>
      </c>
      <c r="L4" s="10" t="inlineStr">
        <is>
          <t>△</t>
        </is>
      </c>
      <c r="M4" s="10" t="inlineStr">
        <is>
          <t>※</t>
        </is>
      </c>
      <c r="N4" s="10" t="inlineStr">
        <is>
          <t>×</t>
        </is>
      </c>
      <c r="O4" s="10" t="inlineStr">
        <is>
          <t>■</t>
        </is>
      </c>
      <c r="P4" s="10" t="inlineStr">
        <is>
          <t>※</t>
        </is>
      </c>
      <c r="Q4" s="11" t="inlineStr">
        <is>
          <t xml:space="preserve"> ★</t>
        </is>
      </c>
      <c r="R4" s="11" t="inlineStr">
        <is>
          <t>∷</t>
        </is>
      </c>
      <c r="S4" s="10" t="inlineStr">
        <is>
          <t>Z</t>
        </is>
      </c>
      <c r="T4" s="10" t="inlineStr">
        <is>
          <t>B</t>
        </is>
      </c>
      <c r="U4" s="10" t="inlineStr">
        <is>
          <t>C</t>
        </is>
      </c>
      <c r="V4" s="11" t="inlineStr">
        <is>
          <t>N</t>
        </is>
      </c>
      <c r="W4" s="10" t="inlineStr">
        <is>
          <t>●</t>
        </is>
      </c>
      <c r="X4" s="11" t="n"/>
      <c r="Y4" s="11" t="n"/>
      <c r="Z4" s="11" t="n"/>
      <c r="AA4" s="11" t="n"/>
      <c r="AB4" s="11" t="n"/>
      <c r="AC4" s="11" t="n"/>
      <c r="AD4" s="11" t="n"/>
      <c r="AE4" s="11" t="n"/>
      <c r="AF4" s="11" t="n"/>
      <c r="AG4" s="11" t="n"/>
      <c r="AH4" s="10">
        <f>COUNTIF(C4:AG4,"√")</f>
        <v/>
      </c>
      <c r="AI4" s="10">
        <f>COUNTIF(C4:AG4,"△")</f>
        <v/>
      </c>
      <c r="AJ4" s="10">
        <f>COUNTIF(C4:AG4,"●")</f>
        <v/>
      </c>
      <c r="AK4" s="10">
        <f>COUNTIF(C4:AG4,"×")</f>
        <v/>
      </c>
      <c r="AL4" s="10">
        <f>COUNTIF(C4:AG4,"Z")+COUNTIF(C4:AG4,"C")</f>
        <v/>
      </c>
      <c r="AM4" s="10">
        <f>COUNTIF(C4:AG4,"■")</f>
        <v/>
      </c>
      <c r="AN4" s="11" t="n"/>
      <c r="AO4" s="12" t="n"/>
    </row>
    <row r="5" ht="21.95" customHeight="1" s="31">
      <c r="A5" s="13" t="n">
        <v>2</v>
      </c>
      <c r="B5" s="14" t="n"/>
      <c r="C5" s="15" t="n"/>
      <c r="D5" s="15" t="n"/>
      <c r="E5" s="15" t="n"/>
      <c r="F5" s="15" t="n"/>
      <c r="G5" s="15" t="n"/>
      <c r="H5" s="15" t="n"/>
      <c r="I5" s="15" t="n"/>
      <c r="J5" s="15" t="n"/>
      <c r="K5" s="15" t="n"/>
      <c r="L5" s="15" t="n"/>
      <c r="M5" s="15" t="n"/>
      <c r="N5" s="15" t="n"/>
      <c r="O5" s="15" t="n"/>
      <c r="P5" s="15" t="n"/>
      <c r="Q5" s="14" t="n"/>
      <c r="R5" s="14" t="n"/>
      <c r="S5" s="14" t="n"/>
      <c r="T5" s="14" t="n"/>
      <c r="U5" s="14" t="n"/>
      <c r="V5" s="14" t="n"/>
      <c r="W5" s="14" t="n"/>
      <c r="X5" s="14" t="n"/>
      <c r="Y5" s="14" t="n"/>
      <c r="Z5" s="14" t="n"/>
      <c r="AA5" s="14" t="n"/>
      <c r="AB5" s="14" t="n"/>
      <c r="AC5" s="14" t="n"/>
      <c r="AD5" s="14" t="n"/>
      <c r="AE5" s="14" t="n"/>
      <c r="AF5" s="14" t="n"/>
      <c r="AG5" s="14" t="n"/>
      <c r="AH5" s="10">
        <f>COUNTIF(C5:AG5,"√")</f>
        <v/>
      </c>
      <c r="AI5" s="10">
        <f>COUNTIF(C5:AG5,"△")</f>
        <v/>
      </c>
      <c r="AJ5" s="10">
        <f>COUNTIF(C5:AG5,"●")</f>
        <v/>
      </c>
      <c r="AK5" s="10">
        <f>COUNTIF(C5:AG5,"×")</f>
        <v/>
      </c>
      <c r="AL5" s="10">
        <f>COUNTIF(C5:AG5,"Z")+COUNTIF(C5:AG5,"C")</f>
        <v/>
      </c>
      <c r="AM5" s="10">
        <f>COUNTIF(C5:AG5,"■")</f>
        <v/>
      </c>
      <c r="AN5" s="14" t="n"/>
      <c r="AO5" s="16" t="n"/>
    </row>
    <row r="6" ht="21.95" customHeight="1" s="31">
      <c r="A6" s="13" t="n">
        <v>3</v>
      </c>
      <c r="B6" s="14" t="n"/>
      <c r="C6" s="15" t="n"/>
      <c r="D6" s="15" t="n"/>
      <c r="E6" s="15" t="n"/>
      <c r="F6" s="15" t="n"/>
      <c r="G6" s="15" t="n"/>
      <c r="H6" s="15" t="n"/>
      <c r="I6" s="15" t="n"/>
      <c r="J6" s="15" t="n"/>
      <c r="K6" s="15" t="n"/>
      <c r="L6" s="15" t="n"/>
      <c r="M6" s="15" t="n"/>
      <c r="N6" s="15" t="n"/>
      <c r="O6" s="15" t="n"/>
      <c r="P6" s="15" t="n"/>
      <c r="Q6" s="14" t="n"/>
      <c r="R6" s="14" t="n"/>
      <c r="S6" s="14" t="n"/>
      <c r="T6" s="14" t="n"/>
      <c r="U6" s="14" t="n"/>
      <c r="V6" s="14" t="n"/>
      <c r="W6" s="14" t="n"/>
      <c r="X6" s="14" t="n"/>
      <c r="Y6" s="14" t="n"/>
      <c r="Z6" s="14" t="n"/>
      <c r="AA6" s="14" t="n"/>
      <c r="AB6" s="14" t="n"/>
      <c r="AC6" s="14" t="n"/>
      <c r="AD6" s="14" t="n"/>
      <c r="AE6" s="14" t="n"/>
      <c r="AF6" s="14" t="n"/>
      <c r="AG6" s="14" t="n"/>
      <c r="AH6" s="10">
        <f>COUNTIF(C6:AG6,"√")</f>
        <v/>
      </c>
      <c r="AI6" s="10">
        <f>COUNTIF(C6:AG6,"△")</f>
        <v/>
      </c>
      <c r="AJ6" s="10">
        <f>COUNTIF(C6:AG6,"●")</f>
        <v/>
      </c>
      <c r="AK6" s="10">
        <f>COUNTIF(C6:AG6,"×")</f>
        <v/>
      </c>
      <c r="AL6" s="10">
        <f>COUNTIF(C6:AG6,"Z")+COUNTIF(C6:AG6,"C")</f>
        <v/>
      </c>
      <c r="AM6" s="10">
        <f>COUNTIF(C6:AG6,"■")</f>
        <v/>
      </c>
      <c r="AN6" s="14" t="n"/>
      <c r="AO6" s="16" t="n"/>
    </row>
    <row r="7" ht="21.95" customHeight="1" s="31">
      <c r="A7" s="13" t="n">
        <v>4</v>
      </c>
      <c r="B7" s="14" t="n"/>
      <c r="C7" s="15" t="n"/>
      <c r="D7" s="15" t="n"/>
      <c r="E7" s="15" t="n"/>
      <c r="F7" s="15" t="n"/>
      <c r="G7" s="15" t="n"/>
      <c r="H7" s="15" t="n"/>
      <c r="I7" s="15" t="n"/>
      <c r="J7" s="15" t="n"/>
      <c r="K7" s="15" t="n"/>
      <c r="L7" s="15" t="n"/>
      <c r="M7" s="15" t="n"/>
      <c r="N7" s="15" t="n"/>
      <c r="O7" s="15" t="n"/>
      <c r="P7" s="15" t="n"/>
      <c r="Q7" s="14" t="n"/>
      <c r="R7" s="14" t="n"/>
      <c r="S7" s="14" t="n"/>
      <c r="T7" s="14" t="n"/>
      <c r="U7" s="14" t="n"/>
      <c r="V7" s="14" t="n"/>
      <c r="W7" s="14" t="n"/>
      <c r="X7" s="14" t="n"/>
      <c r="Y7" s="14" t="n"/>
      <c r="Z7" s="14" t="n"/>
      <c r="AA7" s="14" t="n"/>
      <c r="AB7" s="14" t="n"/>
      <c r="AC7" s="14" t="n"/>
      <c r="AD7" s="14" t="n"/>
      <c r="AE7" s="14" t="n"/>
      <c r="AF7" s="14" t="n"/>
      <c r="AG7" s="14" t="n"/>
      <c r="AH7" s="10">
        <f>COUNTIF(C7:AG7,"√")</f>
        <v/>
      </c>
      <c r="AI7" s="10">
        <f>COUNTIF(C7:AG7,"△")</f>
        <v/>
      </c>
      <c r="AJ7" s="10">
        <f>COUNTIF(C7:AG7,"●")</f>
        <v/>
      </c>
      <c r="AK7" s="10">
        <f>COUNTIF(C7:AG7,"×")</f>
        <v/>
      </c>
      <c r="AL7" s="10">
        <f>COUNTIF(C7:AG7,"Z")+COUNTIF(C7:AG7,"C")</f>
        <v/>
      </c>
      <c r="AM7" s="10">
        <f>COUNTIF(C7:AG7,"■")</f>
        <v/>
      </c>
      <c r="AN7" s="14" t="n"/>
      <c r="AO7" s="16" t="n"/>
    </row>
    <row r="8" ht="21.95" customHeight="1" s="31">
      <c r="A8" s="13" t="n">
        <v>5</v>
      </c>
      <c r="B8" s="14" t="n"/>
      <c r="C8" s="15" t="n"/>
      <c r="D8" s="15" t="n"/>
      <c r="E8" s="15" t="n"/>
      <c r="F8" s="15" t="n"/>
      <c r="G8" s="15" t="n"/>
      <c r="H8" s="15" t="n"/>
      <c r="I8" s="15" t="n"/>
      <c r="J8" s="15" t="n"/>
      <c r="K8" s="15" t="n"/>
      <c r="L8" s="15" t="n"/>
      <c r="M8" s="15" t="n"/>
      <c r="N8" s="15" t="n"/>
      <c r="O8" s="15" t="n"/>
      <c r="P8" s="15" t="n"/>
      <c r="Q8" s="14" t="n"/>
      <c r="R8" s="14" t="n"/>
      <c r="S8" s="14" t="n"/>
      <c r="T8" s="14" t="n"/>
      <c r="U8" s="14" t="n"/>
      <c r="V8" s="14" t="n"/>
      <c r="W8" s="14" t="n"/>
      <c r="X8" s="14" t="n"/>
      <c r="Y8" s="14" t="n"/>
      <c r="Z8" s="14" t="n"/>
      <c r="AA8" s="14" t="n"/>
      <c r="AB8" s="14" t="n"/>
      <c r="AC8" s="14" t="n"/>
      <c r="AD8" s="14" t="n"/>
      <c r="AE8" s="14" t="n"/>
      <c r="AF8" s="14" t="n"/>
      <c r="AG8" s="14" t="n"/>
      <c r="AH8" s="10">
        <f>COUNTIF(C8:AG8,"√")</f>
        <v/>
      </c>
      <c r="AI8" s="10">
        <f>COUNTIF(C8:AG8,"△")</f>
        <v/>
      </c>
      <c r="AJ8" s="10">
        <f>COUNTIF(C8:AG8,"●")</f>
        <v/>
      </c>
      <c r="AK8" s="10">
        <f>COUNTIF(C8:AG8,"×")</f>
        <v/>
      </c>
      <c r="AL8" s="10">
        <f>COUNTIF(C8:AG8,"Z")+COUNTIF(C8:AG8,"C")</f>
        <v/>
      </c>
      <c r="AM8" s="10">
        <f>COUNTIF(C8:AG8,"■")</f>
        <v/>
      </c>
      <c r="AN8" s="14" t="n"/>
      <c r="AO8" s="16" t="n"/>
    </row>
    <row r="9" ht="21.95" customHeight="1" s="31">
      <c r="A9" s="13" t="n">
        <v>6</v>
      </c>
      <c r="B9" s="14" t="n"/>
      <c r="C9" s="15" t="n"/>
      <c r="D9" s="15" t="n"/>
      <c r="E9" s="15" t="n"/>
      <c r="F9" s="15" t="n"/>
      <c r="G9" s="15" t="n"/>
      <c r="H9" s="15" t="n"/>
      <c r="I9" s="15" t="n"/>
      <c r="J9" s="15" t="n"/>
      <c r="K9" s="15" t="n"/>
      <c r="L9" s="15" t="n"/>
      <c r="M9" s="15" t="n"/>
      <c r="N9" s="15" t="n"/>
      <c r="O9" s="15" t="n"/>
      <c r="P9" s="15" t="n"/>
      <c r="Q9" s="14" t="n"/>
      <c r="R9" s="14" t="n"/>
      <c r="S9" s="14" t="n"/>
      <c r="T9" s="14" t="n"/>
      <c r="U9" s="14" t="n"/>
      <c r="V9" s="14" t="n"/>
      <c r="W9" s="14" t="n"/>
      <c r="X9" s="14" t="n"/>
      <c r="Y9" s="14" t="n"/>
      <c r="Z9" s="14" t="n"/>
      <c r="AA9" s="14" t="n"/>
      <c r="AB9" s="14" t="n"/>
      <c r="AC9" s="14" t="n"/>
      <c r="AD9" s="14" t="n"/>
      <c r="AE9" s="14" t="n"/>
      <c r="AF9" s="14" t="n"/>
      <c r="AG9" s="14" t="n"/>
      <c r="AH9" s="10">
        <f>COUNTIF(C9:AG9,"√")</f>
        <v/>
      </c>
      <c r="AI9" s="10">
        <f>COUNTIF(C9:AG9,"△")</f>
        <v/>
      </c>
      <c r="AJ9" s="10">
        <f>COUNTIF(C9:AG9,"●")</f>
        <v/>
      </c>
      <c r="AK9" s="10">
        <f>COUNTIF(C9:AG9,"×")</f>
        <v/>
      </c>
      <c r="AL9" s="10">
        <f>COUNTIF(C9:AG9,"Z")+COUNTIF(C9:AG9,"C")</f>
        <v/>
      </c>
      <c r="AM9" s="10">
        <f>COUNTIF(C9:AG9,"■")</f>
        <v/>
      </c>
      <c r="AN9" s="14" t="n"/>
      <c r="AO9" s="16" t="n"/>
    </row>
    <row r="10" ht="21.95" customHeight="1" s="31">
      <c r="A10" s="13" t="n">
        <v>7</v>
      </c>
      <c r="B10" s="14" t="n"/>
      <c r="C10" s="15" t="n"/>
      <c r="D10" s="15" t="n"/>
      <c r="E10" s="15" t="n"/>
      <c r="F10" s="15" t="n"/>
      <c r="G10" s="15" t="n"/>
      <c r="H10" s="15" t="n"/>
      <c r="I10" s="15" t="n"/>
      <c r="J10" s="15" t="n"/>
      <c r="K10" s="15" t="n"/>
      <c r="L10" s="15" t="n"/>
      <c r="M10" s="15" t="n"/>
      <c r="N10" s="15" t="n"/>
      <c r="O10" s="15" t="n"/>
      <c r="P10" s="15" t="n"/>
      <c r="Q10" s="14" t="n"/>
      <c r="R10" s="14" t="n"/>
      <c r="S10" s="14" t="n"/>
      <c r="T10" s="14" t="n"/>
      <c r="U10" s="14" t="n"/>
      <c r="V10" s="14" t="n"/>
      <c r="W10" s="14" t="n"/>
      <c r="X10" s="14" t="n"/>
      <c r="Y10" s="14" t="n"/>
      <c r="Z10" s="14" t="n"/>
      <c r="AA10" s="14" t="n"/>
      <c r="AB10" s="14" t="n"/>
      <c r="AC10" s="14" t="n"/>
      <c r="AD10" s="14" t="n"/>
      <c r="AE10" s="14" t="n"/>
      <c r="AF10" s="14" t="n"/>
      <c r="AG10" s="14" t="n"/>
      <c r="AH10" s="10">
        <f>COUNTIF(C10:AG10,"√")</f>
        <v/>
      </c>
      <c r="AI10" s="10">
        <f>COUNTIF(C10:AG10,"△")</f>
        <v/>
      </c>
      <c r="AJ10" s="10">
        <f>COUNTIF(C10:AG10,"●")</f>
        <v/>
      </c>
      <c r="AK10" s="10">
        <f>COUNTIF(C10:AG10,"×")</f>
        <v/>
      </c>
      <c r="AL10" s="10">
        <f>COUNTIF(C10:AG10,"Z")+COUNTIF(C10:AG10,"C")</f>
        <v/>
      </c>
      <c r="AM10" s="10">
        <f>COUNTIF(C10:AG10,"■")</f>
        <v/>
      </c>
      <c r="AN10" s="14" t="n"/>
      <c r="AO10" s="16" t="n"/>
    </row>
    <row r="11" ht="21.95" customHeight="1" s="31">
      <c r="A11" s="13" t="n">
        <v>8</v>
      </c>
      <c r="B11" s="14" t="n"/>
      <c r="C11" s="15" t="n"/>
      <c r="D11" s="15" t="n"/>
      <c r="E11" s="15" t="n"/>
      <c r="F11" s="15" t="n"/>
      <c r="G11" s="15" t="n"/>
      <c r="H11" s="15" t="n"/>
      <c r="I11" s="15" t="n"/>
      <c r="J11" s="15" t="n"/>
      <c r="K11" s="15" t="n"/>
      <c r="L11" s="15" t="n"/>
      <c r="M11" s="15" t="n"/>
      <c r="N11" s="15" t="n"/>
      <c r="O11" s="15" t="n"/>
      <c r="P11" s="15" t="n"/>
      <c r="Q11" s="14" t="n"/>
      <c r="R11" s="14" t="n"/>
      <c r="S11" s="14" t="n"/>
      <c r="T11" s="14" t="n"/>
      <c r="U11" s="14" t="n"/>
      <c r="V11" s="14" t="n"/>
      <c r="W11" s="14" t="n"/>
      <c r="X11" s="14" t="n"/>
      <c r="Y11" s="14" t="n"/>
      <c r="Z11" s="14" t="n"/>
      <c r="AA11" s="14" t="n"/>
      <c r="AB11" s="14" t="n"/>
      <c r="AC11" s="14" t="n"/>
      <c r="AD11" s="14" t="n"/>
      <c r="AE11" s="14" t="n"/>
      <c r="AF11" s="14" t="n"/>
      <c r="AG11" s="14" t="n"/>
      <c r="AH11" s="10">
        <f>COUNTIF(C11:AG11,"√")</f>
        <v/>
      </c>
      <c r="AI11" s="10">
        <f>COUNTIF(C11:AG11,"△")</f>
        <v/>
      </c>
      <c r="AJ11" s="10">
        <f>COUNTIF(C11:AG11,"●")</f>
        <v/>
      </c>
      <c r="AK11" s="10">
        <f>COUNTIF(C11:AG11,"×")</f>
        <v/>
      </c>
      <c r="AL11" s="10">
        <f>COUNTIF(C11:AG11,"Z")+COUNTIF(C11:AG11,"C")</f>
        <v/>
      </c>
      <c r="AM11" s="10">
        <f>COUNTIF(C11:AG11,"■")</f>
        <v/>
      </c>
      <c r="AN11" s="14" t="n"/>
      <c r="AO11" s="16" t="n"/>
    </row>
    <row r="12" ht="21.95" customHeight="1" s="31">
      <c r="A12" s="13" t="n">
        <v>9</v>
      </c>
      <c r="B12" s="14" t="n"/>
      <c r="C12" s="15" t="n"/>
      <c r="D12" s="15" t="n"/>
      <c r="E12" s="15" t="n"/>
      <c r="F12" s="15" t="n"/>
      <c r="G12" s="15" t="n"/>
      <c r="H12" s="15" t="n"/>
      <c r="I12" s="15" t="n"/>
      <c r="J12" s="15" t="n"/>
      <c r="K12" s="15" t="n"/>
      <c r="L12" s="15" t="n"/>
      <c r="M12" s="15" t="n"/>
      <c r="N12" s="15" t="n"/>
      <c r="O12" s="15" t="n"/>
      <c r="P12" s="15" t="n"/>
      <c r="Q12" s="14" t="n"/>
      <c r="R12" s="14" t="n"/>
      <c r="S12" s="14" t="n"/>
      <c r="T12" s="14" t="n"/>
      <c r="U12" s="14" t="n"/>
      <c r="V12" s="14" t="n"/>
      <c r="W12" s="14" t="n"/>
      <c r="X12" s="14" t="n"/>
      <c r="Y12" s="14" t="n"/>
      <c r="Z12" s="14" t="n"/>
      <c r="AA12" s="14" t="n"/>
      <c r="AB12" s="14" t="n"/>
      <c r="AC12" s="14" t="n"/>
      <c r="AD12" s="14" t="n"/>
      <c r="AE12" s="14" t="n"/>
      <c r="AF12" s="14" t="n"/>
      <c r="AG12" s="14" t="n"/>
      <c r="AH12" s="10">
        <f>COUNTIF(C12:AG12,"√")</f>
        <v/>
      </c>
      <c r="AI12" s="10">
        <f>COUNTIF(C12:AG12,"△")</f>
        <v/>
      </c>
      <c r="AJ12" s="10">
        <f>COUNTIF(C12:AG12,"●")</f>
        <v/>
      </c>
      <c r="AK12" s="10">
        <f>COUNTIF(C12:AG12,"×")</f>
        <v/>
      </c>
      <c r="AL12" s="10">
        <f>COUNTIF(C12:AG12,"Z")+COUNTIF(C12:AG12,"C")</f>
        <v/>
      </c>
      <c r="AM12" s="10">
        <f>COUNTIF(C12:AG12,"■")</f>
        <v/>
      </c>
      <c r="AN12" s="14" t="n"/>
      <c r="AO12" s="16" t="n"/>
    </row>
    <row r="13" ht="21.95" customHeight="1" s="31">
      <c r="A13" s="13" t="n">
        <v>10</v>
      </c>
      <c r="B13" s="14" t="n"/>
      <c r="C13" s="15" t="n"/>
      <c r="D13" s="15" t="n"/>
      <c r="E13" s="15" t="n"/>
      <c r="F13" s="15" t="n"/>
      <c r="G13" s="15" t="n"/>
      <c r="H13" s="15" t="n"/>
      <c r="I13" s="15" t="n"/>
      <c r="J13" s="15" t="n"/>
      <c r="K13" s="15" t="n"/>
      <c r="L13" s="15" t="n"/>
      <c r="M13" s="15" t="n"/>
      <c r="N13" s="15" t="n"/>
      <c r="O13" s="15" t="n"/>
      <c r="P13" s="15" t="n"/>
      <c r="Q13" s="14" t="n"/>
      <c r="R13" s="14" t="n"/>
      <c r="S13" s="14" t="n"/>
      <c r="T13" s="14" t="n"/>
      <c r="U13" s="14" t="n"/>
      <c r="V13" s="14" t="n"/>
      <c r="W13" s="14" t="n"/>
      <c r="X13" s="14" t="n"/>
      <c r="Y13" s="14" t="n"/>
      <c r="Z13" s="14" t="n"/>
      <c r="AA13" s="14" t="n"/>
      <c r="AB13" s="14" t="n"/>
      <c r="AC13" s="14" t="n"/>
      <c r="AD13" s="14" t="n"/>
      <c r="AE13" s="14" t="n"/>
      <c r="AF13" s="14" t="n"/>
      <c r="AG13" s="14" t="n"/>
      <c r="AH13" s="10">
        <f>COUNTIF(C13:AG13,"√")</f>
        <v/>
      </c>
      <c r="AI13" s="10">
        <f>COUNTIF(C13:AG13,"△")</f>
        <v/>
      </c>
      <c r="AJ13" s="10">
        <f>COUNTIF(C13:AG13,"●")</f>
        <v/>
      </c>
      <c r="AK13" s="10">
        <f>COUNTIF(C13:AG13,"×")</f>
        <v/>
      </c>
      <c r="AL13" s="10">
        <f>COUNTIF(C13:AG13,"Z")+COUNTIF(C13:AG13,"C")</f>
        <v/>
      </c>
      <c r="AM13" s="10">
        <f>COUNTIF(C13:AG13,"■")</f>
        <v/>
      </c>
      <c r="AN13" s="14" t="n"/>
      <c r="AO13" s="16" t="n"/>
    </row>
    <row r="14" ht="21.95" customHeight="1" s="31">
      <c r="A14" s="13" t="n">
        <v>11</v>
      </c>
      <c r="B14" s="14" t="n"/>
      <c r="C14" s="15" t="n"/>
      <c r="D14" s="15" t="n"/>
      <c r="E14" s="15" t="n"/>
      <c r="F14" s="15" t="n"/>
      <c r="G14" s="15" t="n"/>
      <c r="H14" s="15" t="n"/>
      <c r="I14" s="15" t="n"/>
      <c r="J14" s="15" t="n"/>
      <c r="K14" s="15" t="n"/>
      <c r="L14" s="15" t="n"/>
      <c r="M14" s="15" t="n"/>
      <c r="N14" s="15" t="n"/>
      <c r="O14" s="15" t="n"/>
      <c r="P14" s="15" t="n"/>
      <c r="Q14" s="14" t="n"/>
      <c r="R14" s="14" t="n"/>
      <c r="S14" s="14" t="n"/>
      <c r="T14" s="14" t="n"/>
      <c r="U14" s="14" t="n"/>
      <c r="V14" s="14" t="n"/>
      <c r="W14" s="14" t="n"/>
      <c r="X14" s="14" t="n"/>
      <c r="Y14" s="14" t="n"/>
      <c r="Z14" s="14" t="n"/>
      <c r="AA14" s="14" t="n"/>
      <c r="AB14" s="14" t="n"/>
      <c r="AC14" s="14" t="n"/>
      <c r="AD14" s="14" t="n"/>
      <c r="AE14" s="14" t="n"/>
      <c r="AF14" s="14" t="n"/>
      <c r="AG14" s="14" t="n"/>
      <c r="AH14" s="10">
        <f>COUNTIF(C14:AG14,"√")</f>
        <v/>
      </c>
      <c r="AI14" s="10">
        <f>COUNTIF(C14:AG14,"△")</f>
        <v/>
      </c>
      <c r="AJ14" s="10">
        <f>COUNTIF(C14:AG14,"●")</f>
        <v/>
      </c>
      <c r="AK14" s="10">
        <f>COUNTIF(C14:AG14,"×")</f>
        <v/>
      </c>
      <c r="AL14" s="10">
        <f>COUNTIF(C14:AG14,"Z")+COUNTIF(C14:AG14,"C")</f>
        <v/>
      </c>
      <c r="AM14" s="10">
        <f>COUNTIF(C14:AG14,"■")</f>
        <v/>
      </c>
      <c r="AN14" s="14" t="n"/>
      <c r="AO14" s="16" t="n"/>
    </row>
    <row r="15" ht="21.95" customHeight="1" s="31" thickBot="1">
      <c r="A15" s="17" t="n">
        <v>12</v>
      </c>
      <c r="B15" s="18" t="n"/>
      <c r="C15" s="19" t="n"/>
      <c r="D15" s="19" t="n"/>
      <c r="E15" s="19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8" t="n"/>
      <c r="R15" s="18" t="n"/>
      <c r="S15" s="18" t="n"/>
      <c r="T15" s="18" t="n"/>
      <c r="U15" s="18" t="n"/>
      <c r="V15" s="18" t="n"/>
      <c r="W15" s="18" t="n"/>
      <c r="X15" s="18" t="n"/>
      <c r="Y15" s="18" t="n"/>
      <c r="Z15" s="18" t="n"/>
      <c r="AA15" s="18" t="n"/>
      <c r="AB15" s="18" t="n"/>
      <c r="AC15" s="18" t="n"/>
      <c r="AD15" s="18" t="n"/>
      <c r="AE15" s="18" t="n"/>
      <c r="AF15" s="18" t="n"/>
      <c r="AG15" s="18" t="n"/>
      <c r="AH15" s="20">
        <f>COUNTIF(C15:AG15,"√")</f>
        <v/>
      </c>
      <c r="AI15" s="20">
        <f>COUNTIF(C15:AG15,"△")</f>
        <v/>
      </c>
      <c r="AJ15" s="20">
        <f>COUNTIF(C15:AG15,"●")</f>
        <v/>
      </c>
      <c r="AK15" s="20">
        <f>COUNTIF(C15:AG15,"×")</f>
        <v/>
      </c>
      <c r="AL15" s="20">
        <f>COUNTIF(C15:AG15,"Z")+COUNTIF(C15:AG15,"C")</f>
        <v/>
      </c>
      <c r="AM15" s="20">
        <f>COUNTIF(C15:AG15,"■")</f>
        <v/>
      </c>
      <c r="AN15" s="18" t="n"/>
      <c r="AO15" s="21" t="n"/>
    </row>
    <row r="16" ht="20.1" customHeight="1" s="31">
      <c r="A16" s="23" t="inlineStr">
        <is>
          <t>√ 出勤</t>
        </is>
      </c>
      <c r="B16" s="22" t="n"/>
      <c r="C16" s="24" t="n"/>
      <c r="D16" s="24" t="n"/>
      <c r="E16" s="29" t="inlineStr">
        <is>
          <t>△ 病假</t>
        </is>
      </c>
      <c r="G16" s="23" t="n"/>
      <c r="H16" s="24" t="n"/>
      <c r="I16" s="29" t="inlineStr">
        <is>
          <t>× 曠工</t>
        </is>
      </c>
      <c r="K16" s="23" t="n"/>
      <c r="L16" s="24" t="n"/>
      <c r="M16" s="29" t="inlineStr">
        <is>
          <t>≈ 出差</t>
        </is>
      </c>
      <c r="O16" s="23" t="n"/>
      <c r="P16" s="24" t="n"/>
      <c r="Q16" s="29" t="inlineStr">
        <is>
          <t>Z  早退（分鐘數）</t>
        </is>
      </c>
      <c r="U16" s="23" t="n"/>
      <c r="V16" s="23" t="n"/>
      <c r="W16" s="29" t="inlineStr">
        <is>
          <t>C 遲到（分鐘數）</t>
        </is>
      </c>
      <c r="AA16" s="22" t="n"/>
      <c r="AB16" s="22" t="n"/>
      <c r="AC16" s="29" t="inlineStr">
        <is>
          <t>B 補休</t>
        </is>
      </c>
      <c r="AE16" s="23" t="n"/>
      <c r="AF16" s="23" t="n"/>
      <c r="AG16" s="29" t="inlineStr">
        <is>
          <t>N 年假</t>
        </is>
      </c>
      <c r="AI16" s="22" t="n"/>
      <c r="AJ16" s="22" t="n"/>
      <c r="AK16" s="22" t="n"/>
      <c r="AL16" s="22" t="n"/>
      <c r="AM16" s="22" t="n"/>
      <c r="AN16" s="22" t="n"/>
      <c r="AO16" s="22" t="n"/>
    </row>
    <row r="17" ht="20.1" customHeight="1" s="31">
      <c r="A17" s="30" t="inlineStr">
        <is>
          <t>■ 值班</t>
        </is>
      </c>
      <c r="B17" s="30" t="n"/>
      <c r="C17" s="27" t="n"/>
      <c r="D17" s="27" t="n"/>
      <c r="E17" s="26" t="inlineStr">
        <is>
          <t>M 婚假</t>
        </is>
      </c>
      <c r="G17" s="27" t="n"/>
      <c r="H17" s="27" t="n"/>
      <c r="I17" s="26" t="inlineStr">
        <is>
          <t>◆ 年假</t>
        </is>
      </c>
      <c r="K17" s="27" t="n"/>
      <c r="L17" s="27" t="n"/>
      <c r="M17" s="26" t="inlineStr">
        <is>
          <t>S 喪假</t>
        </is>
      </c>
      <c r="O17" s="27" t="n"/>
      <c r="P17" s="27" t="n"/>
      <c r="Q17" s="26" t="inlineStr">
        <is>
          <t>※ 工傷修養</t>
        </is>
      </c>
      <c r="U17" s="30" t="n"/>
      <c r="V17" s="30" t="n"/>
      <c r="W17" s="26" t="inlineStr">
        <is>
          <t xml:space="preserve"> ê公休</t>
        </is>
      </c>
      <c r="Y17" s="30" t="n"/>
      <c r="Z17" s="30" t="n"/>
      <c r="AA17" s="30" t="n"/>
      <c r="AB17" s="30" t="n"/>
      <c r="AC17" s="26" t="inlineStr">
        <is>
          <t>∷節假日</t>
        </is>
      </c>
      <c r="AE17" s="30" t="n"/>
      <c r="AF17" s="30" t="n"/>
      <c r="AG17" s="30" t="inlineStr">
        <is>
          <t>●事假</t>
        </is>
      </c>
      <c r="AI17" s="30" t="n"/>
      <c r="AJ17" s="30" t="n"/>
      <c r="AK17" s="30" t="n"/>
      <c r="AL17" s="30" t="n"/>
      <c r="AM17" s="30" t="n"/>
      <c r="AN17" s="30" t="n"/>
      <c r="AO17" s="30" t="n"/>
    </row>
    <row r="18" ht="16.5" customHeight="1" s="31">
      <c r="A18" s="28" t="inlineStr">
        <is>
          <t>注：各部門應於每月3日前將本考勤表送至人力資源部</t>
        </is>
      </c>
      <c r="AA18" s="30" t="n"/>
      <c r="AB18" s="30" t="n"/>
      <c r="AC18" s="30" t="n"/>
      <c r="AD18" s="30" t="n"/>
      <c r="AE18" s="30" t="n"/>
      <c r="AF18" s="30" t="n"/>
      <c r="AG18" s="30" t="n"/>
      <c r="AH18" s="30" t="n"/>
      <c r="AI18" s="30" t="n"/>
      <c r="AJ18" s="30" t="n"/>
      <c r="AK18" s="30" t="n"/>
      <c r="AL18" s="30" t="n"/>
      <c r="AM18" s="30" t="n"/>
      <c r="AN18" s="30" t="n"/>
      <c r="AO18" s="30" t="n"/>
    </row>
  </sheetData>
  <mergeCells count="20">
    <mergeCell ref="AC17:AD17"/>
    <mergeCell ref="AC16:AD16"/>
    <mergeCell ref="Q17:T17"/>
    <mergeCell ref="E17:F17"/>
    <mergeCell ref="T2:V2"/>
    <mergeCell ref="I16:J16"/>
    <mergeCell ref="Q16:T16"/>
    <mergeCell ref="A1:AO1"/>
    <mergeCell ref="M16:N16"/>
    <mergeCell ref="AG17:AH17"/>
    <mergeCell ref="A2:B2"/>
    <mergeCell ref="A18:Z18"/>
    <mergeCell ref="AG16:AH16"/>
    <mergeCell ref="I17:J17"/>
    <mergeCell ref="M17:N17"/>
    <mergeCell ref="AJ2:AL2"/>
    <mergeCell ref="E16:F16"/>
    <mergeCell ref="W17:X17"/>
    <mergeCell ref="J2:K2"/>
    <mergeCell ref="W16:Z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2019-02-18T08:27:46Z</dcterms:created>
  <dcterms:modified xsi:type="dcterms:W3CDTF">2025-07-21T10:01:06Z</dcterms:modified>
  <cp:lastModifiedBy/>
</cp:coreProperties>
</file>