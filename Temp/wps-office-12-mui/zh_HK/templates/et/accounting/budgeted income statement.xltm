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book.xml" ContentType="application/vnd.openxmlformats-officedocument.spreadsheetml.template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/>
  <bookViews>
    <workbookView visibility="visible" minimized="0" showHorizontalScroll="1" showVerticalScroll="1" showSheetTabs="1" xWindow="0" yWindow="0" windowWidth="19200" windowHeight="7310" tabRatio="600" firstSheet="0" activeTab="4" autoFilterDateGrouping="1"/>
  </bookViews>
  <sheets>
    <sheet name="損益表" sheetId="1" state="visible" r:id="rId1"/>
    <sheet name="利潤表" sheetId="2" state="visible" r:id="rId2"/>
    <sheet name="利潤表列印" sheetId="3" state="visible" r:id="rId3"/>
    <sheet name="所有者權益(股東權益)變動表" sheetId="4" state="visible" r:id="rId4"/>
    <sheet name="營業稅金及附加預算" sheetId="5" state="visible" r:id="rId5"/>
  </sheets>
  <definedNames>
    <definedName name="pbPrinterFormat">"\\nhkgc040pps1\PHKG00311 on Ne03:"</definedName>
    <definedName name="_xlnm.Print_Area" localSheetId="2">'利潤表列印'!$A$1:$D$26</definedName>
  </definedNames>
  <calcPr calcId="152511" fullCalcOnLoad="1"/>
</workbook>
</file>

<file path=xl/styles.xml><?xml version="1.0" encoding="utf-8"?>
<styleSheet xmlns="http://schemas.openxmlformats.org/spreadsheetml/2006/main">
  <numFmts count="4">
    <numFmt numFmtId="164" formatCode="#,##0.00_ "/>
    <numFmt numFmtId="165" formatCode="0_ "/>
    <numFmt numFmtId="166" formatCode="yyyy&quot;年&quot;m&quot;月&quot;;@"/>
    <numFmt numFmtId="167" formatCode="_ * #,##0.00_ ;_ * \-#,##0.00_ ;_ * &quot;-&quot;??_ ;_ @_ "/>
  </numFmts>
  <fonts count="12">
    <font>
      <name val="宋体"/>
      <charset val="134"/>
      <family val="2"/>
      <color theme="1"/>
      <sz val="11"/>
      <scheme val="minor"/>
    </font>
    <font>
      <name val="宋体"/>
      <charset val="134"/>
      <family val="3"/>
      <sz val="12"/>
    </font>
    <font>
      <name val="微软雅黑"/>
      <charset val="134"/>
      <family val="2"/>
      <sz val="10"/>
    </font>
    <font>
      <name val="微软雅黑"/>
      <charset val="134"/>
      <family val="2"/>
      <color indexed="8"/>
      <sz val="18"/>
    </font>
    <font>
      <name val="微软雅黑"/>
      <charset val="134"/>
      <family val="2"/>
      <color indexed="8"/>
      <sz val="10"/>
    </font>
    <font>
      <name val="微软雅黑"/>
      <charset val="134"/>
      <family val="2"/>
      <b val="1"/>
      <sz val="10"/>
    </font>
    <font>
      <name val="微软雅黑"/>
      <charset val="134"/>
      <family val="2"/>
      <color indexed="12"/>
      <sz val="10"/>
      <u val="single"/>
    </font>
    <font>
      <name val="微软雅黑"/>
      <charset val="134"/>
      <family val="2"/>
      <color indexed="10"/>
      <sz val="10"/>
    </font>
    <font>
      <name val="宋体"/>
      <charset val="134"/>
      <family val="2"/>
      <sz val="9"/>
      <scheme val="minor"/>
    </font>
    <font>
      <name val="仿宋_GB2312"/>
      <charset val="134"/>
      <sz val="18"/>
    </font>
    <font>
      <name val="宋体"/>
      <charset val="134"/>
      <family val="3"/>
      <sz val="14"/>
    </font>
    <font>
      <name val="微软雅黑"/>
      <charset val="134"/>
      <family val="2"/>
      <sz val="18"/>
    </font>
  </fonts>
  <fills count="4">
    <fill>
      <patternFill/>
    </fill>
    <fill>
      <patternFill patternType="gray125"/>
    </fill>
    <fill>
      <patternFill patternType="solid">
        <fgColor rgb="FFF2F2F2"/>
        <bgColor indexed="64"/>
      </patternFill>
    </fill>
    <fill>
      <patternFill patternType="solid">
        <fgColor rgb="FFFFFFFF"/>
        <bgColor indexed="64"/>
      </patternFill>
    </fill>
  </fills>
  <borders count="192">
    <border>
      <left/>
      <right/>
      <top/>
      <bottom/>
      <diagonal/>
    </border>
    <border>
      <left/>
      <right/>
      <top style="medium">
        <color auto="1"/>
      </top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 style="medium">
        <color auto="1"/>
      </left>
      <right/>
      <top/>
      <bottom style="thin">
        <color auto="1"/>
      </bottom>
      <diagonal/>
    </border>
    <border>
      <left style="dotted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dotted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dotted">
        <color auto="1"/>
      </bottom>
      <diagonal/>
    </border>
    <border>
      <left/>
      <right/>
      <top style="medium">
        <color auto="1"/>
      </top>
      <bottom style="dotted">
        <color auto="1"/>
      </bottom>
      <diagonal/>
    </border>
    <border>
      <left style="thin">
        <color auto="1"/>
      </left>
      <right/>
      <top style="medium">
        <color auto="1"/>
      </top>
      <bottom style="dotted">
        <color auto="1"/>
      </bottom>
      <diagonal/>
    </border>
    <border>
      <left style="thin">
        <color auto="1"/>
      </left>
      <right/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/>
      <right style="dotted">
        <color auto="1"/>
      </right>
      <top style="dotted">
        <color auto="1"/>
      </top>
      <bottom style="thin">
        <color auto="1"/>
      </bottom>
      <diagonal/>
    </border>
    <border>
      <left style="dotted">
        <color auto="1"/>
      </left>
      <right style="dotted">
        <color auto="1"/>
      </right>
      <top style="dotted">
        <color auto="1"/>
      </top>
      <bottom style="thin">
        <color auto="1"/>
      </bottom>
      <diagonal/>
    </border>
    <border>
      <left style="dotted">
        <color auto="1"/>
      </left>
      <right style="thin">
        <color auto="1"/>
      </right>
      <top style="dotted">
        <color auto="1"/>
      </top>
      <bottom style="thin">
        <color auto="1"/>
      </bottom>
      <diagonal/>
    </border>
    <border>
      <left style="dotted">
        <color auto="1"/>
      </left>
      <right/>
      <top style="dotted">
        <color auto="1"/>
      </top>
      <bottom style="thin">
        <color auto="1"/>
      </bottom>
      <diagonal/>
    </border>
    <border>
      <left style="thin">
        <color auto="1"/>
      </left>
      <right style="dotted">
        <color auto="1"/>
      </right>
      <top style="dotted">
        <color auto="1"/>
      </top>
      <bottom style="thin">
        <color auto="1"/>
      </bottom>
      <diagonal/>
    </border>
    <border>
      <left style="medium">
        <color auto="1"/>
      </left>
      <right style="dotted">
        <color auto="1"/>
      </right>
      <top/>
      <bottom style="dotted">
        <color auto="1"/>
      </bottom>
      <diagonal/>
    </border>
    <border>
      <left style="dotted">
        <color auto="1"/>
      </left>
      <right style="thin">
        <color auto="1"/>
      </right>
      <top/>
      <bottom style="dotted">
        <color auto="1"/>
      </bottom>
      <diagonal/>
    </border>
    <border>
      <left/>
      <right style="dotted">
        <color auto="1"/>
      </right>
      <top/>
      <bottom style="dotted">
        <color auto="1"/>
      </bottom>
      <diagonal/>
    </border>
    <border>
      <left style="dotted">
        <color auto="1"/>
      </left>
      <right style="dotted">
        <color auto="1"/>
      </right>
      <top/>
      <bottom style="dotted">
        <color auto="1"/>
      </bottom>
      <diagonal/>
    </border>
    <border>
      <left style="dotted">
        <color auto="1"/>
      </left>
      <right/>
      <top/>
      <bottom style="dotted">
        <color auto="1"/>
      </bottom>
      <diagonal/>
    </border>
    <border>
      <left style="thin">
        <color auto="1"/>
      </left>
      <right style="dotted">
        <color auto="1"/>
      </right>
      <top/>
      <bottom style="dotted">
        <color auto="1"/>
      </bottom>
      <diagonal/>
    </border>
    <border>
      <left style="dotted">
        <color auto="1"/>
      </left>
      <right style="medium">
        <color auto="1"/>
      </right>
      <top/>
      <bottom style="dotted">
        <color auto="1"/>
      </bottom>
      <diagonal/>
    </border>
    <border>
      <left style="medium">
        <color auto="1"/>
      </left>
      <right style="dotted">
        <color auto="1"/>
      </right>
      <top style="dotted">
        <color auto="1"/>
      </top>
      <bottom style="dotted">
        <color auto="1"/>
      </bottom>
      <diagonal/>
    </border>
    <border>
      <left style="dotted">
        <color auto="1"/>
      </left>
      <right style="thin">
        <color auto="1"/>
      </right>
      <top style="dotted">
        <color auto="1"/>
      </top>
      <bottom style="dotted">
        <color auto="1"/>
      </bottom>
      <diagonal/>
    </border>
    <border>
      <left/>
      <right style="dotted">
        <color auto="1"/>
      </right>
      <top style="dotted">
        <color auto="1"/>
      </top>
      <bottom style="dotted">
        <color auto="1"/>
      </bottom>
      <diagonal/>
    </border>
    <border>
      <left style="dotted">
        <color auto="1"/>
      </left>
      <right style="dotted">
        <color auto="1"/>
      </right>
      <top style="dotted">
        <color auto="1"/>
      </top>
      <bottom style="dotted">
        <color auto="1"/>
      </bottom>
      <diagonal/>
    </border>
    <border>
      <left style="thin">
        <color auto="1"/>
      </left>
      <right style="dotted">
        <color auto="1"/>
      </right>
      <top style="dotted">
        <color auto="1"/>
      </top>
      <bottom style="dotted">
        <color auto="1"/>
      </bottom>
      <diagonal/>
    </border>
    <border>
      <left style="dotted">
        <color auto="1"/>
      </left>
      <right style="medium">
        <color auto="1"/>
      </right>
      <top style="dotted">
        <color auto="1"/>
      </top>
      <bottom style="dotted">
        <color auto="1"/>
      </bottom>
      <diagonal/>
    </border>
    <border>
      <left style="medium">
        <color auto="1"/>
      </left>
      <right style="dotted">
        <color auto="1"/>
      </right>
      <top style="dotted">
        <color auto="1"/>
      </top>
      <bottom style="thin">
        <color auto="1"/>
      </bottom>
      <diagonal/>
    </border>
    <border>
      <left/>
      <right style="dotted">
        <color auto="1"/>
      </right>
      <top style="dotted">
        <color auto="1"/>
      </top>
      <bottom/>
      <diagonal/>
    </border>
    <border>
      <left style="dotted">
        <color auto="1"/>
      </left>
      <right style="dotted">
        <color auto="1"/>
      </right>
      <top style="dotted">
        <color auto="1"/>
      </top>
      <bottom/>
      <diagonal/>
    </border>
    <border>
      <left style="dotted">
        <color auto="1"/>
      </left>
      <right/>
      <top/>
      <bottom/>
      <diagonal/>
    </border>
    <border>
      <left style="thin">
        <color auto="1"/>
      </left>
      <right style="dotted">
        <color auto="1"/>
      </right>
      <top style="dotted">
        <color auto="1"/>
      </top>
      <bottom/>
      <diagonal/>
    </border>
    <border>
      <left style="dotted">
        <color auto="1"/>
      </left>
      <right style="thin">
        <color auto="1"/>
      </right>
      <top/>
      <bottom/>
      <diagonal/>
    </border>
    <border>
      <left/>
      <right style="dotted">
        <color auto="1"/>
      </right>
      <top/>
      <bottom/>
      <diagonal/>
    </border>
    <border>
      <left style="dotted">
        <color auto="1"/>
      </left>
      <right style="dotted">
        <color auto="1"/>
      </right>
      <top/>
      <bottom/>
      <diagonal/>
    </border>
    <border>
      <left style="dotted">
        <color auto="1"/>
      </left>
      <right style="medium">
        <color auto="1"/>
      </right>
      <top style="dotted">
        <color auto="1"/>
      </top>
      <bottom/>
      <diagonal/>
    </border>
    <border>
      <left/>
      <right style="dotted">
        <color auto="1"/>
      </right>
      <top style="thin">
        <color auto="1"/>
      </top>
      <bottom style="dotted">
        <color auto="1"/>
      </bottom>
      <diagonal/>
    </border>
    <border>
      <left style="dotted">
        <color auto="1"/>
      </left>
      <right style="dotted">
        <color auto="1"/>
      </right>
      <top style="thin">
        <color auto="1"/>
      </top>
      <bottom style="dotted">
        <color auto="1"/>
      </bottom>
      <diagonal/>
    </border>
    <border>
      <left style="dotted">
        <color auto="1"/>
      </left>
      <right/>
      <top style="thin">
        <color auto="1"/>
      </top>
      <bottom style="dotted">
        <color auto="1"/>
      </bottom>
      <diagonal/>
    </border>
    <border>
      <left style="thin">
        <color auto="1"/>
      </left>
      <right style="dotted">
        <color auto="1"/>
      </right>
      <top style="thin">
        <color auto="1"/>
      </top>
      <bottom style="dotted">
        <color auto="1"/>
      </bottom>
      <diagonal/>
    </border>
    <border>
      <left style="dotted">
        <color auto="1"/>
      </left>
      <right style="thin">
        <color auto="1"/>
      </right>
      <top style="thin">
        <color auto="1"/>
      </top>
      <bottom style="dotted">
        <color auto="1"/>
      </bottom>
      <diagonal/>
    </border>
    <border>
      <left style="dotted">
        <color auto="1"/>
      </left>
      <right style="medium">
        <color auto="1"/>
      </right>
      <top style="thin">
        <color auto="1"/>
      </top>
      <bottom style="dotted">
        <color auto="1"/>
      </bottom>
      <diagonal/>
    </border>
    <border>
      <left style="medium">
        <color auto="1"/>
      </left>
      <right style="dotted">
        <color auto="1"/>
      </right>
      <top style="dotted">
        <color auto="1"/>
      </top>
      <bottom/>
      <diagonal/>
    </border>
    <border>
      <left style="dotted">
        <color auto="1"/>
      </left>
      <right style="thin">
        <color auto="1"/>
      </right>
      <top style="dotted">
        <color auto="1"/>
      </top>
      <bottom/>
      <diagonal/>
    </border>
    <border>
      <left style="dotted">
        <color auto="1"/>
      </left>
      <right/>
      <top/>
      <bottom style="thin">
        <color auto="1"/>
      </bottom>
      <diagonal/>
    </border>
    <border>
      <left/>
      <right style="dotted">
        <color auto="1"/>
      </right>
      <top/>
      <bottom style="thin">
        <color auto="1"/>
      </bottom>
      <diagonal/>
    </border>
    <border>
      <left style="dotted">
        <color auto="1"/>
      </left>
      <right style="dotted">
        <color auto="1"/>
      </right>
      <top/>
      <bottom style="thin">
        <color auto="1"/>
      </bottom>
      <diagonal/>
    </border>
    <border>
      <left style="dotted">
        <color auto="1"/>
      </left>
      <right style="medium">
        <color auto="1"/>
      </right>
      <top style="dotted">
        <color auto="1"/>
      </top>
      <bottom style="thin">
        <color auto="1"/>
      </bottom>
      <diagonal/>
    </border>
    <border>
      <left style="medium">
        <color auto="1"/>
      </left>
      <right style="dotted">
        <color auto="1"/>
      </right>
      <top style="thin">
        <color auto="1"/>
      </top>
      <bottom style="dotted">
        <color auto="1"/>
      </bottom>
      <diagonal/>
    </border>
    <border>
      <left style="medium">
        <color auto="1"/>
      </left>
      <right style="dotted">
        <color auto="1"/>
      </right>
      <top/>
      <bottom style="medium">
        <color auto="1"/>
      </bottom>
      <diagonal/>
    </border>
    <border>
      <left style="dotted">
        <color auto="1"/>
      </left>
      <right style="thin">
        <color auto="1"/>
      </right>
      <top/>
      <bottom style="medium">
        <color auto="1"/>
      </bottom>
      <diagonal/>
    </border>
    <border>
      <left/>
      <right style="dotted">
        <color auto="1"/>
      </right>
      <top style="thin">
        <color auto="1"/>
      </top>
      <bottom style="medium">
        <color auto="1"/>
      </bottom>
      <diagonal/>
    </border>
    <border>
      <left style="dotted">
        <color auto="1"/>
      </left>
      <right style="dotted">
        <color auto="1"/>
      </right>
      <top style="thin">
        <color auto="1"/>
      </top>
      <bottom style="medium">
        <color auto="1"/>
      </bottom>
      <diagonal/>
    </border>
    <border>
      <left style="dotted">
        <color auto="1"/>
      </left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dotted">
        <color auto="1"/>
      </right>
      <top style="thin">
        <color auto="1"/>
      </top>
      <bottom style="medium">
        <color auto="1"/>
      </bottom>
      <diagonal/>
    </border>
    <border>
      <left style="dotted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dotted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dotted">
        <color auto="1"/>
      </bottom>
      <diagonal/>
    </border>
    <border>
      <left/>
      <right style="thin">
        <color indexed="64"/>
      </right>
      <top style="thin">
        <color indexed="64"/>
      </top>
      <bottom style="dotted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dotted">
        <color auto="1"/>
      </right>
      <top style="dotted">
        <color auto="1"/>
      </top>
      <bottom style="thin">
        <color indexed="64"/>
      </bottom>
      <diagonal/>
    </border>
    <border>
      <left style="dotted">
        <color auto="1"/>
      </left>
      <right style="dotted">
        <color auto="1"/>
      </right>
      <top style="dotted">
        <color auto="1"/>
      </top>
      <bottom style="thin">
        <color indexed="64"/>
      </bottom>
      <diagonal/>
    </border>
    <border>
      <left style="dotted">
        <color auto="1"/>
      </left>
      <right style="thin">
        <color indexed="64"/>
      </right>
      <top style="dotted">
        <color auto="1"/>
      </top>
      <bottom style="thin">
        <color indexed="64"/>
      </bottom>
      <diagonal/>
    </border>
    <border>
      <left style="thin">
        <color auto="1"/>
      </left>
      <right style="dotted">
        <color auto="1"/>
      </right>
      <top style="dotted">
        <color auto="1"/>
      </top>
      <bottom style="thin">
        <color indexed="64"/>
      </bottom>
      <diagonal/>
    </border>
    <border>
      <left style="dotted">
        <color auto="1"/>
      </left>
      <right style="thin">
        <color auto="1"/>
      </right>
      <top style="dotted">
        <color auto="1"/>
      </top>
      <bottom style="thin">
        <color indexed="64"/>
      </bottom>
      <diagonal/>
    </border>
    <border>
      <left style="thin">
        <color indexed="64"/>
      </left>
      <right/>
      <top style="medium">
        <color auto="1"/>
      </top>
      <bottom/>
      <diagonal/>
    </border>
    <border>
      <left style="thin">
        <color indexed="64"/>
      </left>
      <right style="medium">
        <color auto="1"/>
      </right>
      <top style="medium">
        <color auto="1"/>
      </top>
      <bottom/>
      <diagonal/>
    </border>
    <border>
      <left style="thin">
        <color indexed="64"/>
      </left>
      <right style="medium">
        <color auto="1"/>
      </right>
      <top/>
      <bottom style="thin">
        <color indexed="64"/>
      </bottom>
      <diagonal/>
    </border>
    <border>
      <left style="dotted">
        <color auto="1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auto="1"/>
      </left>
      <right/>
      <top/>
      <bottom style="dotted">
        <color auto="1"/>
      </bottom>
      <diagonal/>
    </border>
    <border>
      <left style="thin">
        <color auto="1"/>
      </left>
      <right style="thin">
        <color auto="1"/>
      </right>
      <top/>
      <bottom style="dotted">
        <color auto="1"/>
      </bottom>
      <diagonal/>
    </border>
    <border>
      <left/>
      <right style="medium">
        <color auto="1"/>
      </right>
      <top/>
      <bottom style="dotted">
        <color auto="1"/>
      </bottom>
      <diagonal/>
    </border>
    <border>
      <left style="medium">
        <color auto="1"/>
      </left>
      <right/>
      <top style="dotted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thin">
        <color auto="1"/>
      </bottom>
      <diagonal/>
    </border>
    <border>
      <left/>
      <right style="medium">
        <color auto="1"/>
      </right>
      <top style="dotted">
        <color auto="1"/>
      </top>
      <bottom style="thin">
        <color auto="1"/>
      </bottom>
      <diagonal/>
    </border>
    <border>
      <left style="medium">
        <color auto="1"/>
      </left>
      <right/>
      <top style="dotted">
        <color auto="1"/>
      </top>
      <bottom style="dotted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dotted">
        <color auto="1"/>
      </bottom>
      <diagonal/>
    </border>
    <border>
      <left style="dotted">
        <color auto="1"/>
      </left>
      <right/>
      <top style="dotted">
        <color auto="1"/>
      </top>
      <bottom style="dotted">
        <color auto="1"/>
      </bottom>
      <diagonal/>
    </border>
    <border>
      <left/>
      <right style="medium">
        <color auto="1"/>
      </right>
      <top style="dotted">
        <color auto="1"/>
      </top>
      <bottom style="dotted">
        <color auto="1"/>
      </bottom>
      <diagonal/>
    </border>
    <border>
      <left style="medium">
        <color auto="1"/>
      </left>
      <right/>
      <top style="dotted">
        <color auto="1"/>
      </top>
      <bottom/>
      <diagonal/>
    </border>
    <border>
      <left style="thin">
        <color auto="1"/>
      </left>
      <right style="thin">
        <color auto="1"/>
      </right>
      <top style="dotted">
        <color auto="1"/>
      </top>
      <bottom/>
      <diagonal/>
    </border>
    <border>
      <left style="dotted">
        <color auto="1"/>
      </left>
      <right/>
      <top style="dotted">
        <color auto="1"/>
      </top>
      <bottom/>
      <diagonal/>
    </border>
    <border>
      <left style="medium">
        <color auto="1"/>
      </left>
      <right/>
      <top style="thin">
        <color auto="1"/>
      </top>
      <bottom style="dotted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tted">
        <color auto="1"/>
      </bottom>
      <diagonal/>
    </border>
    <border>
      <left/>
      <right style="medium">
        <color auto="1"/>
      </right>
      <top style="dotted">
        <color auto="1"/>
      </top>
      <bottom/>
      <diagonal/>
    </border>
    <border>
      <left/>
      <right style="medium">
        <color auto="1"/>
      </right>
      <top style="thin">
        <color auto="1"/>
      </top>
      <bottom style="dotted">
        <color auto="1"/>
      </bottom>
      <diagonal/>
    </border>
    <border>
      <left style="medium">
        <color auto="1"/>
      </left>
      <right/>
      <top style="dotted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medium">
        <color auto="1"/>
      </bottom>
      <diagonal/>
    </border>
    <border>
      <left/>
      <right style="dotted">
        <color auto="1"/>
      </right>
      <top style="dotted">
        <color auto="1"/>
      </top>
      <bottom style="medium">
        <color auto="1"/>
      </bottom>
      <diagonal/>
    </border>
    <border>
      <left style="dotted">
        <color auto="1"/>
      </left>
      <right style="dotted">
        <color auto="1"/>
      </right>
      <top style="dotted">
        <color auto="1"/>
      </top>
      <bottom style="medium">
        <color auto="1"/>
      </bottom>
      <diagonal/>
    </border>
    <border>
      <left style="dotted">
        <color auto="1"/>
      </left>
      <right/>
      <top style="dotted">
        <color auto="1"/>
      </top>
      <bottom style="medium">
        <color auto="1"/>
      </bottom>
      <diagonal/>
    </border>
    <border>
      <left style="thin">
        <color auto="1"/>
      </left>
      <right style="dotted">
        <color auto="1"/>
      </right>
      <top style="dotted">
        <color auto="1"/>
      </top>
      <bottom style="medium">
        <color auto="1"/>
      </bottom>
      <diagonal/>
    </border>
    <border>
      <left style="dotted">
        <color auto="1"/>
      </left>
      <right style="thin">
        <color auto="1"/>
      </right>
      <top style="dotted">
        <color auto="1"/>
      </top>
      <bottom style="medium">
        <color auto="1"/>
      </bottom>
      <diagonal/>
    </border>
    <border>
      <left/>
      <right style="medium">
        <color auto="1"/>
      </right>
      <top style="dotted">
        <color auto="1"/>
      </top>
      <bottom style="medium">
        <color auto="1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/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/>
      <right style="dotted">
        <color rgb="FF000000"/>
      </right>
      <top style="medium">
        <color rgb="FF000000"/>
      </top>
      <bottom style="thin">
        <color rgb="FF000000"/>
      </bottom>
      <diagonal/>
    </border>
    <border>
      <left style="dotted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/>
      <bottom style="dotted">
        <color rgb="FF000000"/>
      </bottom>
      <diagonal/>
    </border>
    <border>
      <left/>
      <right style="thin">
        <color rgb="FF000000"/>
      </right>
      <top/>
      <bottom style="dotted">
        <color rgb="FF000000"/>
      </bottom>
      <diagonal/>
    </border>
    <border>
      <left/>
      <right style="dotted">
        <color rgb="FF000000"/>
      </right>
      <top/>
      <bottom style="dotted">
        <color rgb="FF000000"/>
      </bottom>
      <diagonal/>
    </border>
    <border>
      <left style="dotted">
        <color rgb="FF000000"/>
      </left>
      <right style="medium">
        <color rgb="FF000000"/>
      </right>
      <top/>
      <bottom style="dotted">
        <color rgb="FF000000"/>
      </bottom>
      <diagonal/>
    </border>
    <border>
      <left style="medium">
        <color rgb="FF000000"/>
      </left>
      <right style="thin">
        <color rgb="FF000000"/>
      </right>
      <top style="dotted">
        <color rgb="FF000000"/>
      </top>
      <bottom/>
      <diagonal/>
    </border>
    <border>
      <left/>
      <right style="thin">
        <color rgb="FF000000"/>
      </right>
      <top style="dotted">
        <color rgb="FF000000"/>
      </top>
      <bottom/>
      <diagonal/>
    </border>
    <border>
      <left/>
      <right style="dotted">
        <color rgb="FF000000"/>
      </right>
      <top style="dotted">
        <color rgb="FF000000"/>
      </top>
      <bottom/>
      <diagonal/>
    </border>
    <border>
      <left style="dotted">
        <color rgb="FF000000"/>
      </left>
      <right style="medium">
        <color rgb="FF000000"/>
      </right>
      <top style="dotted">
        <color rgb="FF000000"/>
      </top>
      <bottom/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dotted">
        <color rgb="FF000000"/>
      </bottom>
      <diagonal/>
    </border>
    <border>
      <left/>
      <right style="thin">
        <color rgb="FF000000"/>
      </right>
      <top style="thin">
        <color rgb="FF000000"/>
      </top>
      <bottom style="dotted">
        <color rgb="FF000000"/>
      </bottom>
      <diagonal/>
    </border>
    <border>
      <left/>
      <right style="dotted">
        <color rgb="FF000000"/>
      </right>
      <top style="thin">
        <color rgb="FF000000"/>
      </top>
      <bottom style="dotted">
        <color rgb="FF000000"/>
      </bottom>
      <diagonal/>
    </border>
    <border>
      <left style="dotted">
        <color rgb="FF000000"/>
      </left>
      <right style="medium">
        <color rgb="FF000000"/>
      </right>
      <top style="thin">
        <color rgb="FF000000"/>
      </top>
      <bottom style="dotted">
        <color rgb="FF000000"/>
      </bottom>
      <diagonal/>
    </border>
    <border>
      <left style="medium">
        <color rgb="FF000000"/>
      </left>
      <right style="thin">
        <color rgb="FF000000"/>
      </right>
      <top style="dotted">
        <color rgb="FF000000"/>
      </top>
      <bottom style="dotted">
        <color rgb="FF000000"/>
      </bottom>
      <diagonal/>
    </border>
    <border>
      <left/>
      <right style="thin">
        <color rgb="FF000000"/>
      </right>
      <top style="dotted">
        <color rgb="FF000000"/>
      </top>
      <bottom style="dotted">
        <color rgb="FF000000"/>
      </bottom>
      <diagonal/>
    </border>
    <border>
      <left/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 style="dotted">
        <color rgb="FF000000"/>
      </left>
      <right style="medium">
        <color rgb="FF000000"/>
      </right>
      <top style="dotted">
        <color rgb="FF000000"/>
      </top>
      <bottom style="dotted">
        <color rgb="FF000000"/>
      </bottom>
      <diagonal/>
    </border>
    <border>
      <left style="medium">
        <color rgb="FF000000"/>
      </left>
      <right style="thin">
        <color rgb="FF000000"/>
      </right>
      <top style="dotted">
        <color rgb="FF000000"/>
      </top>
      <bottom style="thin">
        <color rgb="FF000000"/>
      </bottom>
      <diagonal/>
    </border>
    <border>
      <left/>
      <right style="thin">
        <color rgb="FF000000"/>
      </right>
      <top style="dotted">
        <color rgb="FF000000"/>
      </top>
      <bottom style="thin">
        <color rgb="FF000000"/>
      </bottom>
      <diagonal/>
    </border>
    <border>
      <left/>
      <right style="dotted">
        <color rgb="FF000000"/>
      </right>
      <top style="dotted">
        <color rgb="FF000000"/>
      </top>
      <bottom style="thin">
        <color rgb="FF000000"/>
      </bottom>
      <diagonal/>
    </border>
    <border>
      <left style="dotted">
        <color rgb="FF000000"/>
      </left>
      <right style="medium">
        <color rgb="FF000000"/>
      </right>
      <top style="dotted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dotted">
        <color rgb="FF000000"/>
      </right>
      <top style="thin">
        <color rgb="FF000000"/>
      </top>
      <bottom/>
      <diagonal/>
    </border>
    <border>
      <left style="dotted">
        <color rgb="FF000000"/>
      </left>
      <right style="medium">
        <color rgb="FF000000"/>
      </right>
      <top style="thin">
        <color rgb="FF000000"/>
      </top>
      <bottom/>
      <diagonal/>
    </border>
    <border>
      <left style="medium">
        <color rgb="FF000000"/>
      </left>
      <right style="thin">
        <color rgb="FF000000"/>
      </right>
      <top style="dotted">
        <color rgb="FF000000"/>
      </top>
      <bottom style="medium">
        <color rgb="FF000000"/>
      </bottom>
      <diagonal/>
    </border>
    <border>
      <left/>
      <right style="thin">
        <color rgb="FF000000"/>
      </right>
      <top style="dotted">
        <color rgb="FF000000"/>
      </top>
      <bottom style="medium">
        <color rgb="FF000000"/>
      </bottom>
      <diagonal/>
    </border>
    <border>
      <left/>
      <right style="dotted">
        <color rgb="FF000000"/>
      </right>
      <top style="dotted">
        <color rgb="FF000000"/>
      </top>
      <bottom style="medium">
        <color rgb="FF000000"/>
      </bottom>
      <diagonal/>
    </border>
    <border>
      <left style="dotted">
        <color rgb="FF000000"/>
      </left>
      <right style="medium">
        <color rgb="FF000000"/>
      </right>
      <top style="dotted">
        <color rgb="FF000000"/>
      </top>
      <bottom style="medium">
        <color rgb="FF000000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dotted">
        <color auto="1"/>
      </bottom>
      <diagonal/>
    </border>
    <border>
      <left style="thin">
        <color auto="1"/>
      </left>
      <right/>
      <top/>
      <bottom style="dotted">
        <color auto="1"/>
      </bottom>
      <diagonal/>
    </border>
    <border>
      <left style="thin">
        <color auto="1"/>
      </left>
      <right/>
      <top style="dotted">
        <color auto="1"/>
      </top>
      <bottom style="dotted">
        <color auto="1"/>
      </bottom>
      <diagonal/>
    </border>
    <border>
      <left style="thin">
        <color auto="1"/>
      </left>
      <right/>
      <top style="dotted">
        <color auto="1"/>
      </top>
      <bottom/>
      <diagonal/>
    </border>
    <border>
      <left style="dotted">
        <color auto="1"/>
      </left>
      <right style="medium">
        <color auto="1"/>
      </right>
      <top/>
      <bottom/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dotted">
        <color auto="1"/>
      </right>
      <top style="thin">
        <color auto="1"/>
      </top>
      <bottom style="thin">
        <color auto="1"/>
      </bottom>
      <diagonal/>
    </border>
    <border>
      <left style="dotted">
        <color auto="1"/>
      </left>
      <right style="dotted">
        <color auto="1"/>
      </right>
      <top style="thin">
        <color auto="1"/>
      </top>
      <bottom style="thin">
        <color auto="1"/>
      </bottom>
      <diagonal/>
    </border>
    <border>
      <left style="dotted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dotted">
        <color auto="1"/>
      </right>
      <top style="thin">
        <color auto="1"/>
      </top>
      <bottom style="thin">
        <color auto="1"/>
      </bottom>
      <diagonal/>
    </border>
    <border>
      <left style="dotted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tted">
        <color auto="1"/>
      </right>
      <top/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rgb="FF000000"/>
      </bottom>
      <diagonal/>
    </border>
    <border>
      <left style="thin">
        <color auto="1"/>
      </left>
      <right/>
      <top style="thin">
        <color auto="1"/>
      </top>
      <bottom style="medium">
        <color rgb="FF000000"/>
      </bottom>
      <diagonal/>
    </border>
    <border>
      <left style="thin">
        <color auto="1"/>
      </left>
      <right style="dotted">
        <color auto="1"/>
      </right>
      <top style="thin">
        <color auto="1"/>
      </top>
      <bottom style="medium">
        <color rgb="FF000000"/>
      </bottom>
      <diagonal/>
    </border>
    <border>
      <left style="dotted">
        <color auto="1"/>
      </left>
      <right style="dotted">
        <color auto="1"/>
      </right>
      <top style="thin">
        <color auto="1"/>
      </top>
      <bottom style="medium">
        <color rgb="FF000000"/>
      </bottom>
      <diagonal/>
    </border>
    <border>
      <left/>
      <right style="dotted">
        <color auto="1"/>
      </right>
      <top style="thin">
        <color auto="1"/>
      </top>
      <bottom style="medium">
        <color rgb="FF000000"/>
      </bottom>
      <diagonal/>
    </border>
    <border>
      <left style="medium">
        <color auto="1"/>
      </left>
      <right style="dotted">
        <color auto="1"/>
      </right>
      <top style="medium">
        <color auto="1"/>
      </top>
      <bottom style="thin">
        <color auto="1"/>
      </bottom>
      <diagonal/>
    </border>
    <border>
      <left/>
      <right style="dotted">
        <color auto="1"/>
      </right>
      <top style="medium">
        <color auto="1"/>
      </top>
      <bottom style="thin">
        <color auto="1"/>
      </bottom>
      <diagonal/>
    </border>
    <border>
      <left style="dotted">
        <color auto="1"/>
      </left>
      <right style="dotted">
        <color auto="1"/>
      </right>
      <top style="medium">
        <color auto="1"/>
      </top>
      <bottom style="thin">
        <color auto="1"/>
      </bottom>
      <diagonal/>
    </border>
    <border>
      <left style="dotted">
        <color auto="1"/>
      </left>
      <right/>
      <top style="medium">
        <color auto="1"/>
      </top>
      <bottom style="thin">
        <color auto="1"/>
      </bottom>
      <diagonal/>
    </border>
    <border>
      <left style="thin">
        <color auto="1"/>
      </left>
      <right style="dotted">
        <color auto="1"/>
      </right>
      <top style="medium">
        <color auto="1"/>
      </top>
      <bottom style="thin">
        <color auto="1"/>
      </bottom>
      <diagonal/>
    </border>
    <border>
      <left style="dotted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dashed">
        <color auto="1"/>
      </right>
      <top style="dotted">
        <color auto="1"/>
      </top>
      <bottom style="dotted">
        <color auto="1"/>
      </bottom>
      <diagonal/>
    </border>
    <border>
      <left style="dotted">
        <color auto="1"/>
      </left>
      <right style="dashed">
        <color auto="1"/>
      </right>
      <top style="dotted">
        <color auto="1"/>
      </top>
      <bottom style="dotted">
        <color auto="1"/>
      </bottom>
      <diagonal/>
    </border>
    <border>
      <left/>
      <right style="thin">
        <color auto="1"/>
      </right>
      <top style="dotted">
        <color auto="1"/>
      </top>
      <bottom style="dotted">
        <color auto="1"/>
      </bottom>
      <diagonal/>
    </border>
    <border>
      <left style="medium">
        <color auto="1"/>
      </left>
      <right style="dotted">
        <color auto="1"/>
      </right>
      <top style="dotted">
        <color auto="1"/>
      </top>
      <bottom style="medium">
        <color auto="1"/>
      </bottom>
      <diagonal/>
    </border>
    <border>
      <left/>
      <right/>
      <top style="dotted">
        <color auto="1"/>
      </top>
      <bottom style="medium">
        <color auto="1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 style="dashed">
        <color auto="1"/>
      </left>
      <right style="dashed">
        <color auto="1"/>
      </right>
      <top/>
      <bottom style="medium">
        <color auto="1"/>
      </bottom>
      <diagonal/>
    </border>
    <border>
      <left/>
      <right style="dashed">
        <color auto="1"/>
      </right>
      <top/>
      <bottom style="medium">
        <color auto="1"/>
      </bottom>
      <diagonal/>
    </border>
    <border>
      <left style="thin">
        <color auto="1"/>
      </left>
      <right style="dashed">
        <color auto="1"/>
      </right>
      <top style="dotted">
        <color auto="1"/>
      </top>
      <bottom style="medium">
        <color auto="1"/>
      </bottom>
      <diagonal/>
    </border>
    <border>
      <left style="dashed">
        <color auto="1"/>
      </left>
      <right style="dashed">
        <color auto="1"/>
      </right>
      <top style="dotted">
        <color auto="1"/>
      </top>
      <bottom style="medium">
        <color auto="1"/>
      </bottom>
      <diagonal/>
    </border>
    <border>
      <left style="dotted">
        <color auto="1"/>
      </left>
      <right style="medium">
        <color auto="1"/>
      </right>
      <top style="dotted">
        <color auto="1"/>
      </top>
      <bottom style="medium">
        <color auto="1"/>
      </bottom>
      <diagonal/>
    </border>
    <border>
      <left style="thin">
        <color indexed="64"/>
      </left>
      <right/>
      <top style="medium">
        <color auto="1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medium">
        <color auto="1"/>
      </right>
      <top style="medium">
        <color auto="1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dotted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tted">
        <color auto="1"/>
      </left>
      <right style="thin">
        <color indexed="64"/>
      </right>
      <top/>
      <bottom/>
      <diagonal/>
    </border>
    <border>
      <left style="dotted">
        <color auto="1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tted">
        <color auto="1"/>
      </bottom>
      <diagonal/>
    </border>
    <border>
      <left/>
      <right style="thin">
        <color auto="1"/>
      </right>
      <top style="medium">
        <color auto="1"/>
      </top>
      <bottom/>
      <diagonal/>
    </border>
    <border>
      <left/>
      <right/>
      <top style="medium">
        <color auto="1"/>
      </top>
      <bottom style="thin">
        <color indexed="64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/>
      <diagonal/>
    </border>
  </borders>
  <cellStyleXfs count="1">
    <xf numFmtId="0" fontId="0" fillId="0" borderId="0" applyAlignment="1">
      <alignment vertical="center"/>
    </xf>
  </cellStyleXfs>
  <cellXfs count="585">
    <xf numFmtId="0" fontId="0" fillId="0" borderId="0" applyAlignment="1" pivotButton="0" quotePrefix="0" xfId="0">
      <alignment vertical="center"/>
    </xf>
    <xf numFmtId="0" fontId="1" fillId="0" borderId="0" pivotButton="0" quotePrefix="0" xfId="0"/>
    <xf numFmtId="0" fontId="2" fillId="0" borderId="0" pivotButton="0" quotePrefix="0" xfId="0"/>
    <xf numFmtId="0" fontId="3" fillId="0" borderId="0" applyAlignment="1" pivotButton="0" quotePrefix="0" xfId="0">
      <alignment horizontal="center" vertical="center"/>
    </xf>
    <xf numFmtId="0" fontId="3" fillId="0" borderId="0" applyAlignment="1" pivotButton="0" quotePrefix="0" xfId="0">
      <alignment horizontal="center" vertical="center"/>
    </xf>
    <xf numFmtId="0" fontId="4" fillId="0" borderId="0" applyAlignment="1" pivotButton="0" quotePrefix="0" xfId="0">
      <alignment horizontal="left" vertical="center"/>
    </xf>
    <xf numFmtId="0" fontId="4" fillId="0" borderId="0" applyAlignment="1" pivotButton="0" quotePrefix="0" xfId="0">
      <alignment horizontal="center" vertical="center"/>
    </xf>
    <xf numFmtId="0" fontId="4" fillId="0" borderId="0" applyAlignment="1" pivotButton="0" quotePrefix="0" xfId="0">
      <alignment horizontal="right" vertical="center"/>
    </xf>
    <xf numFmtId="164" fontId="2" fillId="2" borderId="6" applyAlignment="1" pivotButton="0" quotePrefix="0" xfId="0">
      <alignment horizontal="center" vertical="center"/>
    </xf>
    <xf numFmtId="164" fontId="2" fillId="2" borderId="7" applyAlignment="1" pivotButton="0" quotePrefix="0" xfId="0">
      <alignment horizontal="center" vertical="center"/>
    </xf>
    <xf numFmtId="164" fontId="2" fillId="2" borderId="8" applyAlignment="1" pivotButton="0" quotePrefix="0" xfId="0">
      <alignment horizontal="center" vertical="center"/>
    </xf>
    <xf numFmtId="164" fontId="2" fillId="2" borderId="1" applyAlignment="1" pivotButton="0" quotePrefix="0" xfId="0">
      <alignment horizontal="center" vertical="center"/>
    </xf>
    <xf numFmtId="164" fontId="2" fillId="2" borderId="14" applyAlignment="1" pivotButton="0" quotePrefix="0" xfId="0">
      <alignment horizontal="center" vertical="center"/>
    </xf>
    <xf numFmtId="164" fontId="2" fillId="2" borderId="15" applyAlignment="1" pivotButton="0" quotePrefix="0" xfId="0">
      <alignment horizontal="center" vertical="center"/>
    </xf>
    <xf numFmtId="164" fontId="2" fillId="2" borderId="17" applyAlignment="1" pivotButton="0" quotePrefix="0" xfId="0">
      <alignment horizontal="center" vertical="center"/>
    </xf>
    <xf numFmtId="164" fontId="2" fillId="2" borderId="18" applyAlignment="1" pivotButton="0" quotePrefix="0" xfId="0">
      <alignment horizontal="center" vertical="center"/>
    </xf>
    <xf numFmtId="165" fontId="5" fillId="0" borderId="19" applyAlignment="1" pivotButton="0" quotePrefix="0" xfId="0">
      <alignment horizontal="left" vertical="center"/>
    </xf>
    <xf numFmtId="165" fontId="6" fillId="0" borderId="20" applyAlignment="1" pivotButton="0" quotePrefix="0" xfId="0">
      <alignment horizontal="left" vertical="center"/>
    </xf>
    <xf numFmtId="164" fontId="2" fillId="0" borderId="21" applyAlignment="1" pivotButton="0" quotePrefix="0" xfId="0">
      <alignment horizontal="right"/>
    </xf>
    <xf numFmtId="164" fontId="2" fillId="0" borderId="22" pivotButton="0" quotePrefix="0" xfId="0"/>
    <xf numFmtId="164" fontId="2" fillId="0" borderId="23" applyAlignment="1" pivotButton="0" quotePrefix="0" xfId="0">
      <alignment horizontal="center" vertical="center"/>
    </xf>
    <xf numFmtId="164" fontId="2" fillId="0" borderId="24" applyAlignment="1" pivotButton="0" quotePrefix="0" xfId="0">
      <alignment horizontal="right"/>
    </xf>
    <xf numFmtId="164" fontId="2" fillId="0" borderId="20" applyAlignment="1" pivotButton="0" quotePrefix="0" xfId="0">
      <alignment horizontal="center" vertical="center"/>
    </xf>
    <xf numFmtId="164" fontId="2" fillId="0" borderId="20" applyAlignment="1" pivotButton="0" quotePrefix="0" xfId="0">
      <alignment horizontal="center"/>
    </xf>
    <xf numFmtId="164" fontId="2" fillId="0" borderId="21" applyAlignment="1" pivotButton="0" quotePrefix="0" xfId="0">
      <alignment horizontal="center" vertical="center"/>
    </xf>
    <xf numFmtId="164" fontId="2" fillId="0" borderId="22" applyAlignment="1" pivotButton="0" quotePrefix="0" xfId="0">
      <alignment horizontal="center" vertical="center"/>
    </xf>
    <xf numFmtId="9" fontId="2" fillId="0" borderId="22" applyAlignment="1" pivotButton="0" quotePrefix="0" xfId="0">
      <alignment horizontal="center" vertical="center"/>
    </xf>
    <xf numFmtId="165" fontId="2" fillId="0" borderId="25" pivotButton="0" quotePrefix="0" xfId="0"/>
    <xf numFmtId="165" fontId="2" fillId="0" borderId="26" applyAlignment="1" pivotButton="0" quotePrefix="0" xfId="0">
      <alignment horizontal="left" vertical="center" indent="1"/>
    </xf>
    <xf numFmtId="165" fontId="6" fillId="0" borderId="27" applyAlignment="1" pivotButton="0" quotePrefix="0" xfId="0">
      <alignment horizontal="left" vertical="center"/>
    </xf>
    <xf numFmtId="164" fontId="2" fillId="0" borderId="28" applyAlignment="1" pivotButton="0" quotePrefix="0" xfId="0">
      <alignment horizontal="right"/>
    </xf>
    <xf numFmtId="164" fontId="2" fillId="0" borderId="29" pivotButton="0" quotePrefix="0" xfId="0"/>
    <xf numFmtId="164" fontId="2" fillId="0" borderId="30" applyAlignment="1" pivotButton="0" quotePrefix="0" xfId="0">
      <alignment horizontal="right"/>
    </xf>
    <xf numFmtId="165" fontId="2" fillId="0" borderId="31" pivotButton="0" quotePrefix="0" xfId="0"/>
    <xf numFmtId="165" fontId="2" fillId="0" borderId="32" applyAlignment="1" pivotButton="0" quotePrefix="0" xfId="0">
      <alignment horizontal="left" vertical="center" indent="1"/>
    </xf>
    <xf numFmtId="165" fontId="6" fillId="0" borderId="16" applyAlignment="1" pivotButton="0" quotePrefix="0" xfId="0">
      <alignment horizontal="left" vertical="center"/>
    </xf>
    <xf numFmtId="164" fontId="2" fillId="0" borderId="33" applyAlignment="1" pivotButton="0" quotePrefix="0" xfId="0">
      <alignment horizontal="right"/>
    </xf>
    <xf numFmtId="164" fontId="2" fillId="0" borderId="34" pivotButton="0" quotePrefix="0" xfId="0"/>
    <xf numFmtId="164" fontId="2" fillId="0" borderId="35" applyAlignment="1" pivotButton="0" quotePrefix="0" xfId="0">
      <alignment horizontal="center" vertical="center"/>
    </xf>
    <xf numFmtId="164" fontId="2" fillId="0" borderId="36" applyAlignment="1" pivotButton="0" quotePrefix="0" xfId="0">
      <alignment horizontal="right"/>
    </xf>
    <xf numFmtId="164" fontId="2" fillId="0" borderId="37" applyAlignment="1" pivotButton="0" quotePrefix="0" xfId="0">
      <alignment horizontal="center" vertical="center"/>
    </xf>
    <xf numFmtId="164" fontId="2" fillId="0" borderId="37" applyAlignment="1" pivotButton="0" quotePrefix="0" xfId="0">
      <alignment horizontal="center"/>
    </xf>
    <xf numFmtId="164" fontId="2" fillId="0" borderId="38" applyAlignment="1" pivotButton="0" quotePrefix="0" xfId="0">
      <alignment horizontal="center" vertical="center"/>
    </xf>
    <xf numFmtId="164" fontId="2" fillId="0" borderId="39" applyAlignment="1" pivotButton="0" quotePrefix="0" xfId="0">
      <alignment horizontal="center" vertical="center"/>
    </xf>
    <xf numFmtId="9" fontId="2" fillId="0" borderId="39" applyAlignment="1" pivotButton="0" quotePrefix="0" xfId="0">
      <alignment horizontal="center" vertical="center"/>
    </xf>
    <xf numFmtId="165" fontId="2" fillId="0" borderId="40" pivotButton="0" quotePrefix="0" xfId="0"/>
    <xf numFmtId="165" fontId="2" fillId="0" borderId="20" applyAlignment="1" pivotButton="0" quotePrefix="0" xfId="0">
      <alignment horizontal="left" vertical="center"/>
    </xf>
    <xf numFmtId="164" fontId="2" fillId="0" borderId="41" applyAlignment="1" pivotButton="0" quotePrefix="0" xfId="0">
      <alignment horizontal="right"/>
    </xf>
    <xf numFmtId="164" fontId="2" fillId="0" borderId="42" pivotButton="0" quotePrefix="0" xfId="0"/>
    <xf numFmtId="164" fontId="2" fillId="0" borderId="43" applyAlignment="1" pivotButton="0" quotePrefix="0" xfId="0">
      <alignment horizontal="center" vertical="center"/>
    </xf>
    <xf numFmtId="164" fontId="2" fillId="0" borderId="44" applyAlignment="1" pivotButton="0" quotePrefix="0" xfId="0">
      <alignment horizontal="right"/>
    </xf>
    <xf numFmtId="164" fontId="2" fillId="0" borderId="45" applyAlignment="1" pivotButton="0" quotePrefix="0" xfId="0">
      <alignment horizontal="center" vertical="center"/>
    </xf>
    <xf numFmtId="164" fontId="2" fillId="0" borderId="45" applyAlignment="1" pivotButton="0" quotePrefix="0" xfId="0">
      <alignment horizontal="center"/>
    </xf>
    <xf numFmtId="164" fontId="2" fillId="0" borderId="41" applyAlignment="1" pivotButton="0" quotePrefix="0" xfId="0">
      <alignment horizontal="center" vertical="center"/>
    </xf>
    <xf numFmtId="164" fontId="2" fillId="0" borderId="42" applyAlignment="1" pivotButton="0" quotePrefix="0" xfId="0">
      <alignment horizontal="center" vertical="center"/>
    </xf>
    <xf numFmtId="9" fontId="2" fillId="0" borderId="42" applyAlignment="1" pivotButton="0" quotePrefix="0" xfId="0">
      <alignment horizontal="center" vertical="center"/>
    </xf>
    <xf numFmtId="165" fontId="2" fillId="0" borderId="46" pivotButton="0" quotePrefix="0" xfId="0"/>
    <xf numFmtId="165" fontId="2" fillId="0" borderId="26" applyAlignment="1" pivotButton="0" quotePrefix="0" xfId="0">
      <alignment horizontal="left" vertical="center" wrapText="1" indent="1"/>
    </xf>
    <xf numFmtId="165" fontId="2" fillId="0" borderId="27" applyAlignment="1" pivotButton="0" quotePrefix="0" xfId="0">
      <alignment vertical="center" wrapText="1"/>
    </xf>
    <xf numFmtId="165" fontId="2" fillId="0" borderId="27" applyAlignment="1" pivotButton="0" quotePrefix="0" xfId="0">
      <alignment vertical="center"/>
    </xf>
    <xf numFmtId="165" fontId="2" fillId="0" borderId="47" applyAlignment="1" pivotButton="0" quotePrefix="0" xfId="0">
      <alignment horizontal="left" vertical="center" indent="1"/>
    </xf>
    <xf numFmtId="165" fontId="2" fillId="0" borderId="48" applyAlignment="1" pivotButton="0" quotePrefix="0" xfId="0">
      <alignment vertical="center"/>
    </xf>
    <xf numFmtId="164" fontId="2" fillId="0" borderId="14" applyAlignment="1" pivotButton="0" quotePrefix="0" xfId="0">
      <alignment horizontal="right"/>
    </xf>
    <xf numFmtId="164" fontId="2" fillId="0" borderId="15" pivotButton="0" quotePrefix="0" xfId="0"/>
    <xf numFmtId="164" fontId="2" fillId="0" borderId="49" applyAlignment="1" pivotButton="0" quotePrefix="0" xfId="0">
      <alignment horizontal="center" vertical="center"/>
    </xf>
    <xf numFmtId="164" fontId="2" fillId="0" borderId="18" applyAlignment="1" pivotButton="0" quotePrefix="0" xfId="0">
      <alignment horizontal="right"/>
    </xf>
    <xf numFmtId="164" fontId="2" fillId="0" borderId="5" applyAlignment="1" pivotButton="0" quotePrefix="0" xfId="0">
      <alignment horizontal="center" vertical="center"/>
    </xf>
    <xf numFmtId="164" fontId="2" fillId="0" borderId="5" applyAlignment="1" pivotButton="0" quotePrefix="0" xfId="0">
      <alignment horizontal="center"/>
    </xf>
    <xf numFmtId="164" fontId="2" fillId="0" borderId="50" applyAlignment="1" pivotButton="0" quotePrefix="0" xfId="0">
      <alignment horizontal="center" vertical="center"/>
    </xf>
    <xf numFmtId="164" fontId="2" fillId="0" borderId="51" applyAlignment="1" pivotButton="0" quotePrefix="0" xfId="0">
      <alignment horizontal="center" vertical="center"/>
    </xf>
    <xf numFmtId="9" fontId="2" fillId="0" borderId="51" applyAlignment="1" pivotButton="0" quotePrefix="0" xfId="0">
      <alignment horizontal="center" vertical="center"/>
    </xf>
    <xf numFmtId="165" fontId="2" fillId="0" borderId="52" pivotButton="0" quotePrefix="0" xfId="0"/>
    <xf numFmtId="165" fontId="5" fillId="0" borderId="53" applyAlignment="1" pivotButton="0" quotePrefix="0" xfId="0">
      <alignment vertical="center"/>
    </xf>
    <xf numFmtId="165" fontId="2" fillId="0" borderId="45" applyAlignment="1" pivotButton="0" quotePrefix="0" xfId="0">
      <alignment vertical="center"/>
    </xf>
    <xf numFmtId="165" fontId="6" fillId="0" borderId="27" applyAlignment="1" pivotButton="0" quotePrefix="0" xfId="0">
      <alignment vertical="center"/>
    </xf>
    <xf numFmtId="165" fontId="6" fillId="0" borderId="16" applyAlignment="1" pivotButton="0" quotePrefix="0" xfId="0">
      <alignment vertical="center"/>
    </xf>
    <xf numFmtId="165" fontId="5" fillId="0" borderId="19" applyAlignment="1" pivotButton="0" quotePrefix="0" xfId="0">
      <alignment vertical="center"/>
    </xf>
    <xf numFmtId="165" fontId="2" fillId="0" borderId="20" applyAlignment="1" pivotButton="0" quotePrefix="0" xfId="0">
      <alignment vertical="center"/>
    </xf>
    <xf numFmtId="164" fontId="2" fillId="0" borderId="33" pivotButton="0" quotePrefix="0" xfId="0"/>
    <xf numFmtId="164" fontId="2" fillId="0" borderId="18" pivotButton="0" quotePrefix="0" xfId="0"/>
    <xf numFmtId="164" fontId="2" fillId="0" borderId="14" pivotButton="0" quotePrefix="0" xfId="0"/>
    <xf numFmtId="165" fontId="5" fillId="0" borderId="45" applyAlignment="1" pivotButton="0" quotePrefix="0" xfId="0">
      <alignment vertical="center"/>
    </xf>
    <xf numFmtId="164" fontId="2" fillId="0" borderId="41" pivotButton="0" quotePrefix="0" xfId="0"/>
    <xf numFmtId="164" fontId="2" fillId="0" borderId="24" pivotButton="0" quotePrefix="0" xfId="0"/>
    <xf numFmtId="164" fontId="2" fillId="0" borderId="21" pivotButton="0" quotePrefix="0" xfId="0"/>
    <xf numFmtId="165" fontId="7" fillId="0" borderId="25" pivotButton="0" quotePrefix="0" xfId="0"/>
    <xf numFmtId="164" fontId="2" fillId="0" borderId="28" pivotButton="0" quotePrefix="0" xfId="0"/>
    <xf numFmtId="164" fontId="2" fillId="0" borderId="30" pivotButton="0" quotePrefix="0" xfId="0"/>
    <xf numFmtId="165" fontId="2" fillId="0" borderId="16" applyAlignment="1" pivotButton="0" quotePrefix="0" xfId="0">
      <alignment vertical="center"/>
    </xf>
    <xf numFmtId="164" fontId="2" fillId="0" borderId="36" pivotButton="0" quotePrefix="0" xfId="0"/>
    <xf numFmtId="165" fontId="5" fillId="0" borderId="54" applyAlignment="1" pivotButton="0" quotePrefix="0" xfId="0">
      <alignment horizontal="left" vertical="center"/>
    </xf>
    <xf numFmtId="165" fontId="2" fillId="0" borderId="55" applyAlignment="1" pivotButton="0" quotePrefix="0" xfId="0">
      <alignment horizontal="left" vertical="center"/>
    </xf>
    <xf numFmtId="164" fontId="2" fillId="0" borderId="56" pivotButton="0" quotePrefix="0" xfId="0"/>
    <xf numFmtId="164" fontId="2" fillId="0" borderId="57" pivotButton="0" quotePrefix="0" xfId="0"/>
    <xf numFmtId="164" fontId="2" fillId="0" borderId="58" applyAlignment="1" pivotButton="0" quotePrefix="0" xfId="0">
      <alignment horizontal="center" vertical="center"/>
    </xf>
    <xf numFmtId="164" fontId="2" fillId="0" borderId="59" pivotButton="0" quotePrefix="0" xfId="0"/>
    <xf numFmtId="164" fontId="2" fillId="0" borderId="60" applyAlignment="1" pivotButton="0" quotePrefix="0" xfId="0">
      <alignment horizontal="center" vertical="center"/>
    </xf>
    <xf numFmtId="164" fontId="2" fillId="0" borderId="60" applyAlignment="1" pivotButton="0" quotePrefix="0" xfId="0">
      <alignment horizontal="center"/>
    </xf>
    <xf numFmtId="164" fontId="2" fillId="0" borderId="56" applyAlignment="1" pivotButton="0" quotePrefix="0" xfId="0">
      <alignment horizontal="center" vertical="center"/>
    </xf>
    <xf numFmtId="164" fontId="2" fillId="0" borderId="57" applyAlignment="1" pivotButton="0" quotePrefix="0" xfId="0">
      <alignment horizontal="center" vertical="center"/>
    </xf>
    <xf numFmtId="9" fontId="2" fillId="0" borderId="57" applyAlignment="1" pivotButton="0" quotePrefix="0" xfId="0">
      <alignment horizontal="center" vertical="center"/>
    </xf>
    <xf numFmtId="165" fontId="2" fillId="0" borderId="61" pivotButton="0" quotePrefix="0" xfId="0"/>
    <xf numFmtId="165" fontId="2" fillId="2" borderId="62" applyAlignment="1" pivotButton="0" quotePrefix="0" xfId="0">
      <alignment horizontal="center" vertical="center"/>
    </xf>
    <xf numFmtId="164" fontId="2" fillId="2" borderId="63" applyAlignment="1" pivotButton="0" quotePrefix="0" xfId="0">
      <alignment horizontal="center" vertical="center"/>
    </xf>
    <xf numFmtId="164" fontId="2" fillId="2" borderId="64" applyAlignment="1" pivotButton="0" quotePrefix="0" xfId="0">
      <alignment horizontal="center" vertical="center"/>
    </xf>
    <xf numFmtId="0" fontId="2" fillId="0" borderId="65" applyAlignment="1" pivotButton="0" quotePrefix="0" xfId="0">
      <alignment vertical="center"/>
    </xf>
    <xf numFmtId="0" fontId="2" fillId="0" borderId="66" applyAlignment="1" pivotButton="0" quotePrefix="0" xfId="0">
      <alignment vertical="center"/>
    </xf>
    <xf numFmtId="164" fontId="2" fillId="2" borderId="67" applyAlignment="1" pivotButton="0" quotePrefix="0" xfId="0">
      <alignment horizontal="center" vertical="center"/>
    </xf>
    <xf numFmtId="164" fontId="2" fillId="2" borderId="68" applyAlignment="1" pivotButton="0" quotePrefix="0" xfId="0">
      <alignment horizontal="center" vertical="center"/>
    </xf>
    <xf numFmtId="164" fontId="2" fillId="2" borderId="69" applyAlignment="1" pivotButton="0" quotePrefix="0" xfId="0">
      <alignment horizontal="center" vertical="center"/>
    </xf>
    <xf numFmtId="164" fontId="2" fillId="2" borderId="70" applyAlignment="1" pivotButton="0" quotePrefix="0" xfId="0">
      <alignment horizontal="center" vertical="center"/>
    </xf>
    <xf numFmtId="164" fontId="2" fillId="2" borderId="71" applyAlignment="1" pivotButton="0" quotePrefix="0" xfId="0">
      <alignment horizontal="center" vertical="center"/>
    </xf>
    <xf numFmtId="164" fontId="2" fillId="2" borderId="72" applyAlignment="1" pivotButton="0" quotePrefix="0" xfId="0">
      <alignment horizontal="center" vertical="center"/>
    </xf>
    <xf numFmtId="165" fontId="2" fillId="2" borderId="72" applyAlignment="1" pivotButton="0" quotePrefix="0" xfId="0">
      <alignment horizontal="center" vertical="center" wrapText="1"/>
    </xf>
    <xf numFmtId="165" fontId="2" fillId="2" borderId="73" applyAlignment="1" pivotButton="0" quotePrefix="0" xfId="0">
      <alignment horizontal="center" vertical="center" wrapText="1"/>
    </xf>
    <xf numFmtId="0" fontId="2" fillId="0" borderId="74" applyAlignment="1" pivotButton="0" quotePrefix="0" xfId="0">
      <alignment vertical="center"/>
    </xf>
    <xf numFmtId="165" fontId="2" fillId="2" borderId="75" applyAlignment="1" pivotButton="0" quotePrefix="0" xfId="0">
      <alignment horizontal="center" vertical="center"/>
    </xf>
    <xf numFmtId="0" fontId="2" fillId="0" borderId="76" applyAlignment="1" pivotButton="0" quotePrefix="0" xfId="0">
      <alignment vertical="center"/>
    </xf>
    <xf numFmtId="0" fontId="2" fillId="2" borderId="2" applyAlignment="1" pivotButton="0" quotePrefix="0" xfId="0">
      <alignment horizontal="center" vertical="center" wrapText="1"/>
    </xf>
    <xf numFmtId="0" fontId="2" fillId="2" borderId="3" applyAlignment="1" pivotButton="0" quotePrefix="0" xfId="0">
      <alignment horizontal="center" vertical="center" wrapText="1"/>
    </xf>
    <xf numFmtId="0" fontId="2" fillId="2" borderId="10" applyAlignment="1" pivotButton="0" quotePrefix="0" xfId="0">
      <alignment horizontal="center" vertical="center" wrapText="1"/>
    </xf>
    <xf numFmtId="0" fontId="2" fillId="2" borderId="11" applyAlignment="1" pivotButton="0" quotePrefix="0" xfId="0">
      <alignment horizontal="center" vertical="center" wrapText="1"/>
    </xf>
    <xf numFmtId="57" fontId="2" fillId="2" borderId="7" applyAlignment="1" pivotButton="0" quotePrefix="0" xfId="0">
      <alignment horizontal="center" vertical="center"/>
    </xf>
    <xf numFmtId="0" fontId="2" fillId="2" borderId="12" applyAlignment="1" pivotButton="0" quotePrefix="0" xfId="0">
      <alignment horizontal="center" vertical="center"/>
    </xf>
    <xf numFmtId="0" fontId="2" fillId="2" borderId="13" applyAlignment="1" pivotButton="0" quotePrefix="0" xfId="0">
      <alignment horizontal="center" vertical="center"/>
    </xf>
    <xf numFmtId="0" fontId="2" fillId="2" borderId="14" applyAlignment="1" pivotButton="0" quotePrefix="0" xfId="0">
      <alignment horizontal="center" vertical="center"/>
    </xf>
    <xf numFmtId="0" fontId="2" fillId="2" borderId="15" applyAlignment="1" pivotButton="0" quotePrefix="0" xfId="0">
      <alignment horizontal="center" vertical="center"/>
    </xf>
    <xf numFmtId="0" fontId="2" fillId="2" borderId="17" applyAlignment="1" pivotButton="0" quotePrefix="0" xfId="0">
      <alignment horizontal="center" vertical="center"/>
    </xf>
    <xf numFmtId="0" fontId="2" fillId="2" borderId="18" applyAlignment="1" pivotButton="0" quotePrefix="0" xfId="0">
      <alignment horizontal="center" vertical="center"/>
    </xf>
    <xf numFmtId="0" fontId="2" fillId="2" borderId="16" applyAlignment="1" pivotButton="0" quotePrefix="0" xfId="0">
      <alignment horizontal="center" vertical="center"/>
    </xf>
    <xf numFmtId="0" fontId="5" fillId="0" borderId="77" applyAlignment="1" pivotButton="0" quotePrefix="0" xfId="0">
      <alignment horizontal="left" vertical="center" wrapText="1"/>
    </xf>
    <xf numFmtId="0" fontId="2" fillId="0" borderId="78" applyAlignment="1" pivotButton="0" quotePrefix="0" xfId="0">
      <alignment horizontal="center" vertical="center" wrapText="1"/>
    </xf>
    <xf numFmtId="164" fontId="2" fillId="0" borderId="21" applyAlignment="1" pivotButton="0" quotePrefix="0" xfId="0">
      <alignment horizontal="center" vertical="center" wrapText="1"/>
    </xf>
    <xf numFmtId="164" fontId="2" fillId="0" borderId="22" applyAlignment="1" pivotButton="0" quotePrefix="0" xfId="0">
      <alignment horizontal="center" vertical="center" wrapText="1"/>
    </xf>
    <xf numFmtId="164" fontId="2" fillId="0" borderId="23" applyAlignment="1" pivotButton="0" quotePrefix="0" xfId="0">
      <alignment horizontal="center" vertical="center" wrapText="1"/>
    </xf>
    <xf numFmtId="164" fontId="2" fillId="0" borderId="24" applyAlignment="1" pivotButton="0" quotePrefix="0" xfId="0">
      <alignment horizontal="center" vertical="center" wrapText="1"/>
    </xf>
    <xf numFmtId="164" fontId="2" fillId="0" borderId="20" applyAlignment="1" pivotButton="0" quotePrefix="0" xfId="0">
      <alignment horizontal="center" vertical="center" wrapText="1"/>
    </xf>
    <xf numFmtId="164" fontId="2" fillId="0" borderId="79" applyAlignment="1" pivotButton="0" quotePrefix="0" xfId="0">
      <alignment horizontal="center" vertical="center" wrapText="1"/>
    </xf>
    <xf numFmtId="0" fontId="2" fillId="0" borderId="80" applyAlignment="1" pivotButton="0" quotePrefix="0" xfId="0">
      <alignment horizontal="left" vertical="center" wrapText="1" indent="1"/>
    </xf>
    <xf numFmtId="0" fontId="2" fillId="0" borderId="81" applyAlignment="1" pivotButton="0" quotePrefix="0" xfId="0">
      <alignment horizontal="center" vertical="center" wrapText="1"/>
    </xf>
    <xf numFmtId="164" fontId="2" fillId="0" borderId="14" applyAlignment="1" pivotButton="0" quotePrefix="0" xfId="0">
      <alignment horizontal="center" vertical="center" wrapText="1"/>
    </xf>
    <xf numFmtId="164" fontId="2" fillId="0" borderId="15" applyAlignment="1" pivotButton="0" quotePrefix="0" xfId="0">
      <alignment horizontal="center" vertical="center" wrapText="1"/>
    </xf>
    <xf numFmtId="164" fontId="2" fillId="0" borderId="17" applyAlignment="1" pivotButton="0" quotePrefix="0" xfId="0">
      <alignment horizontal="center" vertical="center" wrapText="1"/>
    </xf>
    <xf numFmtId="164" fontId="2" fillId="0" borderId="18" applyAlignment="1" pivotButton="0" quotePrefix="0" xfId="0">
      <alignment horizontal="center" vertical="center" wrapText="1"/>
    </xf>
    <xf numFmtId="164" fontId="2" fillId="0" borderId="16" applyAlignment="1" pivotButton="0" quotePrefix="0" xfId="0">
      <alignment horizontal="center" vertical="center" wrapText="1"/>
    </xf>
    <xf numFmtId="164" fontId="2" fillId="0" borderId="82" applyAlignment="1" pivotButton="0" quotePrefix="0" xfId="0">
      <alignment horizontal="center" vertical="center" wrapText="1"/>
    </xf>
    <xf numFmtId="0" fontId="2" fillId="0" borderId="83" applyAlignment="1" pivotButton="0" quotePrefix="0" xfId="0">
      <alignment horizontal="left" vertical="center" wrapText="1" indent="1"/>
    </xf>
    <xf numFmtId="0" fontId="2" fillId="0" borderId="84" applyAlignment="1" pivotButton="0" quotePrefix="0" xfId="0">
      <alignment horizontal="center" vertical="center" wrapText="1"/>
    </xf>
    <xf numFmtId="164" fontId="2" fillId="0" borderId="28" applyAlignment="1" pivotButton="0" quotePrefix="0" xfId="0">
      <alignment horizontal="center" vertical="center" wrapText="1"/>
    </xf>
    <xf numFmtId="164" fontId="2" fillId="0" borderId="29" applyAlignment="1" pivotButton="0" quotePrefix="0" xfId="0">
      <alignment horizontal="center" vertical="center" wrapText="1"/>
    </xf>
    <xf numFmtId="164" fontId="2" fillId="0" borderId="85" applyAlignment="1" pivotButton="0" quotePrefix="0" xfId="0">
      <alignment horizontal="center" vertical="center" wrapText="1"/>
    </xf>
    <xf numFmtId="164" fontId="2" fillId="0" borderId="30" applyAlignment="1" pivotButton="0" quotePrefix="0" xfId="0">
      <alignment horizontal="center" vertical="center" wrapText="1"/>
    </xf>
    <xf numFmtId="164" fontId="2" fillId="0" borderId="27" applyAlignment="1" pivotButton="0" quotePrefix="0" xfId="0">
      <alignment horizontal="center" vertical="center" wrapText="1"/>
    </xf>
    <xf numFmtId="164" fontId="2" fillId="0" borderId="86" applyAlignment="1" pivotButton="0" quotePrefix="0" xfId="0">
      <alignment horizontal="center" vertical="center" wrapText="1"/>
    </xf>
    <xf numFmtId="0" fontId="2" fillId="0" borderId="87" applyAlignment="1" pivotButton="0" quotePrefix="0" xfId="0">
      <alignment horizontal="left" vertical="center" wrapText="1" indent="1"/>
    </xf>
    <xf numFmtId="0" fontId="2" fillId="0" borderId="88" applyAlignment="1" pivotButton="0" quotePrefix="0" xfId="0">
      <alignment horizontal="center" vertical="center" wrapText="1"/>
    </xf>
    <xf numFmtId="164" fontId="2" fillId="0" borderId="33" applyAlignment="1" pivotButton="0" quotePrefix="0" xfId="0">
      <alignment horizontal="center" vertical="center" wrapText="1"/>
    </xf>
    <xf numFmtId="164" fontId="2" fillId="0" borderId="34" applyAlignment="1" pivotButton="0" quotePrefix="0" xfId="0">
      <alignment horizontal="center" vertical="center" wrapText="1"/>
    </xf>
    <xf numFmtId="164" fontId="2" fillId="0" borderId="89" applyAlignment="1" pivotButton="0" quotePrefix="0" xfId="0">
      <alignment horizontal="center" vertical="center" wrapText="1"/>
    </xf>
    <xf numFmtId="164" fontId="2" fillId="0" borderId="36" applyAlignment="1" pivotButton="0" quotePrefix="0" xfId="0">
      <alignment horizontal="center" vertical="center" wrapText="1"/>
    </xf>
    <xf numFmtId="164" fontId="2" fillId="0" borderId="48" applyAlignment="1" pivotButton="0" quotePrefix="0" xfId="0">
      <alignment horizontal="center" vertical="center" wrapText="1"/>
    </xf>
    <xf numFmtId="0" fontId="5" fillId="0" borderId="90" applyAlignment="1" pivotButton="0" quotePrefix="0" xfId="0">
      <alignment horizontal="left" vertical="center" wrapText="1"/>
    </xf>
    <xf numFmtId="0" fontId="2" fillId="0" borderId="91" applyAlignment="1" pivotButton="0" quotePrefix="0" xfId="0">
      <alignment horizontal="center" vertical="center" wrapText="1"/>
    </xf>
    <xf numFmtId="164" fontId="2" fillId="0" borderId="41" applyAlignment="1" pivotButton="0" quotePrefix="0" xfId="0">
      <alignment horizontal="center" vertical="center" wrapText="1"/>
    </xf>
    <xf numFmtId="164" fontId="2" fillId="0" borderId="42" applyAlignment="1" pivotButton="0" quotePrefix="0" xfId="0">
      <alignment horizontal="center" vertical="center" wrapText="1"/>
    </xf>
    <xf numFmtId="164" fontId="2" fillId="0" borderId="43" applyAlignment="1" pivotButton="0" quotePrefix="0" xfId="0">
      <alignment horizontal="center" vertical="center" wrapText="1"/>
    </xf>
    <xf numFmtId="164" fontId="2" fillId="0" borderId="44" applyAlignment="1" pivotButton="0" quotePrefix="0" xfId="0">
      <alignment horizontal="center" vertical="center" wrapText="1"/>
    </xf>
    <xf numFmtId="164" fontId="2" fillId="0" borderId="45" applyAlignment="1" pivotButton="0" quotePrefix="0" xfId="0">
      <alignment horizontal="center" vertical="center" wrapText="1"/>
    </xf>
    <xf numFmtId="164" fontId="2" fillId="0" borderId="29" applyAlignment="1" pivotButton="0" quotePrefix="0" xfId="0">
      <alignment horizontal="center" vertical="center"/>
    </xf>
    <xf numFmtId="0" fontId="2" fillId="0" borderId="80" applyAlignment="1" pivotButton="0" quotePrefix="0" xfId="0">
      <alignment horizontal="left" vertical="center" indent="1"/>
    </xf>
    <xf numFmtId="0" fontId="5" fillId="0" borderId="80" applyAlignment="1" pivotButton="0" quotePrefix="0" xfId="0">
      <alignment horizontal="left" vertical="center" wrapText="1"/>
    </xf>
    <xf numFmtId="164" fontId="2" fillId="0" borderId="92" applyAlignment="1" pivotButton="0" quotePrefix="0" xfId="0">
      <alignment horizontal="center" vertical="center" wrapText="1"/>
    </xf>
    <xf numFmtId="0" fontId="2" fillId="0" borderId="77" applyAlignment="1" pivotButton="0" quotePrefix="0" xfId="0">
      <alignment horizontal="left" vertical="center" wrapText="1" indent="1"/>
    </xf>
    <xf numFmtId="164" fontId="2" fillId="0" borderId="93" applyAlignment="1" pivotButton="0" quotePrefix="0" xfId="0">
      <alignment horizontal="center" vertical="center" wrapText="1"/>
    </xf>
    <xf numFmtId="0" fontId="2" fillId="0" borderId="94" applyAlignment="1" pivotButton="0" quotePrefix="0" xfId="0">
      <alignment horizontal="left" vertical="center" wrapText="1" indent="1"/>
    </xf>
    <xf numFmtId="0" fontId="2" fillId="0" borderId="95" applyAlignment="1" pivotButton="0" quotePrefix="0" xfId="0">
      <alignment horizontal="center" vertical="center" wrapText="1"/>
    </xf>
    <xf numFmtId="164" fontId="2" fillId="0" borderId="96" applyAlignment="1" pivotButton="0" quotePrefix="0" xfId="0">
      <alignment horizontal="center" vertical="center" wrapText="1"/>
    </xf>
    <xf numFmtId="164" fontId="2" fillId="0" borderId="97" applyAlignment="1" pivotButton="0" quotePrefix="0" xfId="0">
      <alignment horizontal="center" vertical="center" wrapText="1"/>
    </xf>
    <xf numFmtId="164" fontId="2" fillId="0" borderId="98" applyAlignment="1" pivotButton="0" quotePrefix="0" xfId="0">
      <alignment horizontal="center" vertical="center" wrapText="1"/>
    </xf>
    <xf numFmtId="164" fontId="2" fillId="0" borderId="99" applyAlignment="1" pivotButton="0" quotePrefix="0" xfId="0">
      <alignment horizontal="center" vertical="center" wrapText="1"/>
    </xf>
    <xf numFmtId="164" fontId="2" fillId="0" borderId="100" applyAlignment="1" pivotButton="0" quotePrefix="0" xfId="0">
      <alignment horizontal="center" vertical="center" wrapText="1"/>
    </xf>
    <xf numFmtId="164" fontId="2" fillId="0" borderId="101" applyAlignment="1" pivotButton="0" quotePrefix="0" xfId="0">
      <alignment horizontal="center" vertical="center" wrapText="1"/>
    </xf>
    <xf numFmtId="0" fontId="9" fillId="0" borderId="0" pivotButton="0" quotePrefix="0" xfId="0"/>
    <xf numFmtId="0" fontId="11" fillId="3" borderId="0" applyAlignment="1" pivotButton="0" quotePrefix="0" xfId="0">
      <alignment horizontal="center" vertical="center"/>
    </xf>
    <xf numFmtId="49" fontId="2" fillId="3" borderId="0" pivotButton="0" quotePrefix="0" xfId="0"/>
    <xf numFmtId="0" fontId="2" fillId="3" borderId="0" applyAlignment="1" pivotButton="0" quotePrefix="0" xfId="0">
      <alignment horizontal="left"/>
    </xf>
    <xf numFmtId="0" fontId="2" fillId="3" borderId="0" pivotButton="0" quotePrefix="0" xfId="0"/>
    <xf numFmtId="0" fontId="2" fillId="3" borderId="0" applyAlignment="1" pivotButton="0" quotePrefix="0" xfId="0">
      <alignment horizontal="right"/>
    </xf>
    <xf numFmtId="0" fontId="10" fillId="0" borderId="0" applyAlignment="1" pivotButton="0" quotePrefix="0" xfId="0">
      <alignment horizontal="center"/>
    </xf>
    <xf numFmtId="0" fontId="2" fillId="2" borderId="102" applyAlignment="1" pivotButton="0" quotePrefix="0" xfId="0">
      <alignment horizontal="center" vertical="center" wrapText="1"/>
    </xf>
    <xf numFmtId="0" fontId="2" fillId="2" borderId="103" applyAlignment="1" pivotButton="0" quotePrefix="0" xfId="0">
      <alignment horizontal="center" vertical="center" wrapText="1"/>
    </xf>
    <xf numFmtId="0" fontId="2" fillId="2" borderId="104" applyAlignment="1" pivotButton="0" quotePrefix="0" xfId="0">
      <alignment horizontal="center" vertical="center" wrapText="1"/>
    </xf>
    <xf numFmtId="0" fontId="2" fillId="2" borderId="105" applyAlignment="1" pivotButton="0" quotePrefix="0" xfId="0">
      <alignment horizontal="center" vertical="center" wrapText="1"/>
    </xf>
    <xf numFmtId="0" fontId="10" fillId="0" borderId="0" pivotButton="0" quotePrefix="0" xfId="0"/>
    <xf numFmtId="0" fontId="5" fillId="0" borderId="106" applyAlignment="1" pivotButton="0" quotePrefix="0" xfId="0">
      <alignment horizontal="left" vertical="center" wrapText="1"/>
    </xf>
    <xf numFmtId="0" fontId="2" fillId="0" borderId="107" applyAlignment="1" pivotButton="0" quotePrefix="0" xfId="0">
      <alignment horizontal="center" vertical="center" wrapText="1"/>
    </xf>
    <xf numFmtId="164" fontId="2" fillId="0" borderId="108" applyAlignment="1" pivotButton="0" quotePrefix="0" xfId="0">
      <alignment horizontal="left" vertical="center" wrapText="1"/>
    </xf>
    <xf numFmtId="164" fontId="2" fillId="0" borderId="109" applyAlignment="1" pivotButton="0" quotePrefix="0" xfId="0">
      <alignment horizontal="left" vertical="center" wrapText="1"/>
    </xf>
    <xf numFmtId="0" fontId="2" fillId="0" borderId="110" applyAlignment="1" pivotButton="0" quotePrefix="0" xfId="0">
      <alignment horizontal="left" vertical="center" wrapText="1" indent="1"/>
    </xf>
    <xf numFmtId="0" fontId="2" fillId="0" borderId="111" applyAlignment="1" pivotButton="0" quotePrefix="0" xfId="0">
      <alignment horizontal="center" vertical="center" wrapText="1"/>
    </xf>
    <xf numFmtId="164" fontId="2" fillId="0" borderId="112" applyAlignment="1" pivotButton="0" quotePrefix="0" xfId="0">
      <alignment horizontal="left" vertical="center" wrapText="1"/>
    </xf>
    <xf numFmtId="164" fontId="2" fillId="0" borderId="113" applyAlignment="1" pivotButton="0" quotePrefix="0" xfId="0">
      <alignment horizontal="left" vertical="center" wrapText="1"/>
    </xf>
    <xf numFmtId="0" fontId="5" fillId="0" borderId="114" applyAlignment="1" pivotButton="0" quotePrefix="0" xfId="0">
      <alignment horizontal="left" vertical="center" wrapText="1"/>
    </xf>
    <xf numFmtId="0" fontId="2" fillId="0" borderId="115" applyAlignment="1" pivotButton="0" quotePrefix="0" xfId="0">
      <alignment horizontal="center" vertical="center" wrapText="1"/>
    </xf>
    <xf numFmtId="164" fontId="2" fillId="0" borderId="116" applyAlignment="1" pivotButton="0" quotePrefix="0" xfId="0">
      <alignment horizontal="left" vertical="center" wrapText="1"/>
    </xf>
    <xf numFmtId="164" fontId="2" fillId="0" borderId="117" applyAlignment="1" pivotButton="0" quotePrefix="0" xfId="0">
      <alignment horizontal="left" vertical="center" wrapText="1"/>
    </xf>
    <xf numFmtId="0" fontId="2" fillId="0" borderId="118" applyAlignment="1" pivotButton="0" quotePrefix="0" xfId="0">
      <alignment horizontal="left" vertical="center" wrapText="1" indent="1"/>
    </xf>
    <xf numFmtId="0" fontId="2" fillId="0" borderId="119" applyAlignment="1" pivotButton="0" quotePrefix="0" xfId="0">
      <alignment horizontal="center" vertical="center" wrapText="1"/>
    </xf>
    <xf numFmtId="164" fontId="2" fillId="0" borderId="120" applyAlignment="1" pivotButton="0" quotePrefix="0" xfId="0">
      <alignment horizontal="left" vertical="center" wrapText="1"/>
    </xf>
    <xf numFmtId="164" fontId="2" fillId="0" borderId="121" applyAlignment="1" pivotButton="0" quotePrefix="0" xfId="0">
      <alignment horizontal="left" vertical="center" wrapText="1"/>
    </xf>
    <xf numFmtId="0" fontId="2" fillId="0" borderId="122" applyAlignment="1" pivotButton="0" quotePrefix="0" xfId="0">
      <alignment horizontal="left" vertical="center" wrapText="1" indent="1"/>
    </xf>
    <xf numFmtId="0" fontId="2" fillId="0" borderId="123" applyAlignment="1" pivotButton="0" quotePrefix="0" xfId="0">
      <alignment horizontal="center" vertical="center" wrapText="1"/>
    </xf>
    <xf numFmtId="164" fontId="2" fillId="0" borderId="124" applyAlignment="1" pivotButton="0" quotePrefix="0" xfId="0">
      <alignment horizontal="left" vertical="center" wrapText="1"/>
    </xf>
    <xf numFmtId="164" fontId="2" fillId="0" borderId="125" applyAlignment="1" pivotButton="0" quotePrefix="0" xfId="0">
      <alignment horizontal="left" vertical="center" wrapText="1"/>
    </xf>
    <xf numFmtId="0" fontId="5" fillId="0" borderId="126" applyAlignment="1" pivotButton="0" quotePrefix="0" xfId="0">
      <alignment horizontal="left" vertical="center" wrapText="1"/>
    </xf>
    <xf numFmtId="0" fontId="2" fillId="0" borderId="127" applyAlignment="1" pivotButton="0" quotePrefix="0" xfId="0">
      <alignment horizontal="center" vertical="center" wrapText="1"/>
    </xf>
    <xf numFmtId="164" fontId="2" fillId="0" borderId="128" applyAlignment="1" pivotButton="0" quotePrefix="0" xfId="0">
      <alignment horizontal="left" vertical="center" wrapText="1"/>
    </xf>
    <xf numFmtId="164" fontId="2" fillId="0" borderId="129" applyAlignment="1" pivotButton="0" quotePrefix="0" xfId="0">
      <alignment horizontal="left" vertical="center" wrapText="1"/>
    </xf>
    <xf numFmtId="0" fontId="2" fillId="0" borderId="106" applyAlignment="1" pivotButton="0" quotePrefix="0" xfId="0">
      <alignment horizontal="left" vertical="center" wrapText="1" indent="1"/>
    </xf>
    <xf numFmtId="164" fontId="2" fillId="0" borderId="108" applyAlignment="1" pivotButton="0" quotePrefix="0" xfId="0">
      <alignment horizontal="center" vertical="center" wrapText="1"/>
    </xf>
    <xf numFmtId="0" fontId="2" fillId="0" borderId="130" applyAlignment="1" pivotButton="0" quotePrefix="0" xfId="0">
      <alignment horizontal="left" vertical="center" wrapText="1" indent="1"/>
    </xf>
    <xf numFmtId="0" fontId="2" fillId="0" borderId="131" applyAlignment="1" pivotButton="0" quotePrefix="0" xfId="0">
      <alignment horizontal="center" vertical="center" wrapText="1"/>
    </xf>
    <xf numFmtId="164" fontId="2" fillId="0" borderId="132" applyAlignment="1" pivotButton="0" quotePrefix="0" xfId="0">
      <alignment horizontal="center" vertical="center" wrapText="1"/>
    </xf>
    <xf numFmtId="164" fontId="2" fillId="0" borderId="133" applyAlignment="1" pivotButton="0" quotePrefix="0" xfId="0">
      <alignment horizontal="left" vertical="center" wrapText="1"/>
    </xf>
    <xf numFmtId="166" fontId="1" fillId="0" borderId="0" applyAlignment="1" pivotButton="0" quotePrefix="0" xfId="0">
      <alignment horizontal="left"/>
    </xf>
    <xf numFmtId="49" fontId="2" fillId="0" borderId="0" pivotButton="0" quotePrefix="0" xfId="0"/>
    <xf numFmtId="0" fontId="2" fillId="0" borderId="0" applyAlignment="1" pivotButton="0" quotePrefix="0" xfId="0">
      <alignment horizontal="left"/>
    </xf>
    <xf numFmtId="0" fontId="2" fillId="0" borderId="0" applyAlignment="1" pivotButton="0" quotePrefix="0" xfId="0">
      <alignment horizontal="right"/>
    </xf>
    <xf numFmtId="0" fontId="2" fillId="2" borderId="9" applyAlignment="1" pivotButton="0" quotePrefix="0" xfId="0">
      <alignment horizontal="center" vertical="center" wrapText="1"/>
    </xf>
    <xf numFmtId="0" fontId="2" fillId="2" borderId="134" applyAlignment="1" pivotButton="0" quotePrefix="0" xfId="0">
      <alignment horizontal="center" vertical="center" wrapText="1"/>
    </xf>
    <xf numFmtId="0" fontId="2" fillId="2" borderId="8" applyAlignment="1" pivotButton="0" quotePrefix="0" xfId="0">
      <alignment horizontal="center" vertical="center" wrapText="1"/>
    </xf>
    <xf numFmtId="0" fontId="2" fillId="2" borderId="6" applyAlignment="1" pivotButton="0" quotePrefix="0" xfId="0">
      <alignment horizontal="center" vertical="center" wrapText="1"/>
    </xf>
    <xf numFmtId="0" fontId="2" fillId="2" borderId="7" applyAlignment="1" pivotButton="0" quotePrefix="0" xfId="0">
      <alignment horizontal="center" vertical="center" wrapText="1"/>
    </xf>
    <xf numFmtId="0" fontId="2" fillId="2" borderId="135" applyAlignment="1" pivotButton="0" quotePrefix="0" xfId="0">
      <alignment horizontal="center" vertical="center" wrapText="1"/>
    </xf>
    <xf numFmtId="0" fontId="2" fillId="2" borderId="18" applyAlignment="1" pivotButton="0" quotePrefix="0" xfId="0">
      <alignment horizontal="center" vertical="center" wrapText="1"/>
    </xf>
    <xf numFmtId="0" fontId="2" fillId="2" borderId="15" applyAlignment="1" pivotButton="0" quotePrefix="0" xfId="0">
      <alignment horizontal="center" vertical="center" wrapText="1"/>
    </xf>
    <xf numFmtId="0" fontId="2" fillId="2" borderId="16" applyAlignment="1" pivotButton="0" quotePrefix="0" xfId="0">
      <alignment horizontal="center" vertical="center" wrapText="1"/>
    </xf>
    <xf numFmtId="0" fontId="2" fillId="2" borderId="14" applyAlignment="1" pivotButton="0" quotePrefix="0" xfId="0">
      <alignment horizontal="center" vertical="center" wrapText="1"/>
    </xf>
    <xf numFmtId="0" fontId="2" fillId="2" borderId="52" applyAlignment="1" pivotButton="0" quotePrefix="0" xfId="0">
      <alignment horizontal="center" vertical="center" wrapText="1"/>
    </xf>
    <xf numFmtId="0" fontId="1" fillId="0" borderId="0" applyAlignment="1" pivotButton="0" quotePrefix="0" xfId="0">
      <alignment vertical="center"/>
    </xf>
    <xf numFmtId="0" fontId="2" fillId="0" borderId="136" applyAlignment="1" pivotButton="0" quotePrefix="0" xfId="0">
      <alignment horizontal="left" vertical="center" wrapText="1"/>
    </xf>
    <xf numFmtId="164" fontId="2" fillId="0" borderId="24" applyAlignment="1" pivotButton="0" quotePrefix="0" xfId="0">
      <alignment horizontal="left" vertical="center" wrapText="1"/>
    </xf>
    <xf numFmtId="164" fontId="2" fillId="0" borderId="22" applyAlignment="1" pivotButton="0" quotePrefix="0" xfId="0">
      <alignment horizontal="left" vertical="center" wrapText="1"/>
    </xf>
    <xf numFmtId="164" fontId="2" fillId="0" borderId="21" applyAlignment="1" pivotButton="0" quotePrefix="0" xfId="0">
      <alignment horizontal="left" vertical="center" wrapText="1"/>
    </xf>
    <xf numFmtId="164" fontId="2" fillId="0" borderId="25" applyAlignment="1" pivotButton="0" quotePrefix="0" xfId="0">
      <alignment horizontal="center" vertical="center" wrapText="1"/>
    </xf>
    <xf numFmtId="0" fontId="2" fillId="0" borderId="137" applyAlignment="1" pivotButton="0" quotePrefix="0" xfId="0">
      <alignment horizontal="left" vertical="center" wrapText="1"/>
    </xf>
    <xf numFmtId="164" fontId="2" fillId="0" borderId="30" applyAlignment="1" pivotButton="0" quotePrefix="0" xfId="0">
      <alignment horizontal="left" vertical="center" wrapText="1"/>
    </xf>
    <xf numFmtId="164" fontId="2" fillId="0" borderId="29" applyAlignment="1" pivotButton="0" quotePrefix="0" xfId="0">
      <alignment horizontal="left" vertical="center" wrapText="1"/>
    </xf>
    <xf numFmtId="164" fontId="2" fillId="0" borderId="28" applyAlignment="1" pivotButton="0" quotePrefix="0" xfId="0">
      <alignment horizontal="left" vertical="center" wrapText="1"/>
    </xf>
    <xf numFmtId="0" fontId="2" fillId="0" borderId="138" applyAlignment="1" pivotButton="0" quotePrefix="0" xfId="0">
      <alignment horizontal="left" vertical="center" wrapText="1"/>
    </xf>
    <xf numFmtId="164" fontId="2" fillId="0" borderId="36" applyAlignment="1" pivotButton="0" quotePrefix="0" xfId="0">
      <alignment horizontal="left" vertical="center" wrapText="1"/>
    </xf>
    <xf numFmtId="164" fontId="2" fillId="0" borderId="34" applyAlignment="1" pivotButton="0" quotePrefix="0" xfId="0">
      <alignment horizontal="left" vertical="center" wrapText="1"/>
    </xf>
    <xf numFmtId="164" fontId="2" fillId="0" borderId="37" applyAlignment="1" pivotButton="0" quotePrefix="0" xfId="0">
      <alignment horizontal="center" vertical="center" wrapText="1"/>
    </xf>
    <xf numFmtId="164" fontId="2" fillId="0" borderId="33" applyAlignment="1" pivotButton="0" quotePrefix="0" xfId="0">
      <alignment horizontal="left" vertical="center" wrapText="1"/>
    </xf>
    <xf numFmtId="164" fontId="2" fillId="0" borderId="139" applyAlignment="1" pivotButton="0" quotePrefix="0" xfId="0">
      <alignment horizontal="center" vertical="center" wrapText="1"/>
    </xf>
    <xf numFmtId="0" fontId="5" fillId="0" borderId="140" applyAlignment="1" pivotButton="0" quotePrefix="0" xfId="0">
      <alignment horizontal="left" vertical="center" wrapText="1"/>
    </xf>
    <xf numFmtId="0" fontId="2" fillId="0" borderId="141" applyAlignment="1" pivotButton="0" quotePrefix="0" xfId="0">
      <alignment horizontal="left" vertical="center" wrapText="1"/>
    </xf>
    <xf numFmtId="164" fontId="2" fillId="0" borderId="142" applyAlignment="1" pivotButton="0" quotePrefix="0" xfId="0">
      <alignment horizontal="left" vertical="center" wrapText="1"/>
    </xf>
    <xf numFmtId="164" fontId="2" fillId="0" borderId="143" applyAlignment="1" pivotButton="0" quotePrefix="0" xfId="0">
      <alignment horizontal="left" vertical="center" wrapText="1"/>
    </xf>
    <xf numFmtId="164" fontId="2" fillId="0" borderId="144" applyAlignment="1" pivotButton="0" quotePrefix="0" xfId="0">
      <alignment horizontal="center" vertical="center" wrapText="1"/>
    </xf>
    <xf numFmtId="164" fontId="2" fillId="0" borderId="145" applyAlignment="1" pivotButton="0" quotePrefix="0" xfId="0">
      <alignment horizontal="left" vertical="center" wrapText="1"/>
    </xf>
    <xf numFmtId="164" fontId="2" fillId="0" borderId="146" applyAlignment="1" pivotButton="0" quotePrefix="0" xfId="0">
      <alignment horizontal="center" vertical="center" wrapText="1"/>
    </xf>
    <xf numFmtId="0" fontId="5" fillId="0" borderId="3" applyAlignment="1" pivotButton="0" quotePrefix="0" xfId="0">
      <alignment horizontal="left" vertical="center" wrapText="1"/>
    </xf>
    <xf numFmtId="0" fontId="2" fillId="0" borderId="134" applyAlignment="1" pivotButton="0" quotePrefix="0" xfId="0">
      <alignment horizontal="left" vertical="center" wrapText="1"/>
    </xf>
    <xf numFmtId="164" fontId="2" fillId="0" borderId="147" applyAlignment="1" pivotButton="0" quotePrefix="0" xfId="0">
      <alignment horizontal="left" vertical="center" wrapText="1"/>
    </xf>
    <xf numFmtId="164" fontId="2" fillId="0" borderId="51" applyAlignment="1" pivotButton="0" quotePrefix="0" xfId="0">
      <alignment horizontal="left" vertical="center" wrapText="1"/>
    </xf>
    <xf numFmtId="0" fontId="2" fillId="0" borderId="77" applyAlignment="1" pivotButton="0" quotePrefix="0" xfId="0">
      <alignment horizontal="left" vertical="center" wrapText="1"/>
    </xf>
    <xf numFmtId="0" fontId="2" fillId="0" borderId="83" applyAlignment="1" pivotButton="0" quotePrefix="0" xfId="0">
      <alignment horizontal="left" vertical="center" wrapText="1"/>
    </xf>
    <xf numFmtId="0" fontId="2" fillId="0" borderId="87" applyAlignment="1" pivotButton="0" quotePrefix="0" xfId="0">
      <alignment horizontal="left" vertical="top" wrapText="1" indent="1"/>
    </xf>
    <xf numFmtId="0" fontId="2" fillId="0" borderId="138" applyAlignment="1" pivotButton="0" quotePrefix="0" xfId="0">
      <alignment horizontal="left" vertical="top" wrapText="1"/>
    </xf>
    <xf numFmtId="164" fontId="2" fillId="0" borderId="36" applyAlignment="1" pivotButton="0" quotePrefix="0" xfId="0">
      <alignment horizontal="left" vertical="top" wrapText="1"/>
    </xf>
    <xf numFmtId="164" fontId="2" fillId="0" borderId="34" applyAlignment="1" pivotButton="0" quotePrefix="0" xfId="0">
      <alignment horizontal="left" vertical="top" wrapText="1"/>
    </xf>
    <xf numFmtId="164" fontId="2" fillId="0" borderId="33" applyAlignment="1" pivotButton="0" quotePrefix="0" xfId="0">
      <alignment horizontal="left" vertical="top" wrapText="1"/>
    </xf>
    <xf numFmtId="0" fontId="5" fillId="0" borderId="148" applyAlignment="1" pivotButton="0" quotePrefix="0" xfId="0">
      <alignment horizontal="left" vertical="center" wrapText="1"/>
    </xf>
    <xf numFmtId="0" fontId="2" fillId="0" borderId="149" applyAlignment="1" pivotButton="0" quotePrefix="0" xfId="0">
      <alignment horizontal="left" vertical="top" wrapText="1"/>
    </xf>
    <xf numFmtId="164" fontId="2" fillId="0" borderId="150" applyAlignment="1" pivotButton="0" quotePrefix="0" xfId="0">
      <alignment horizontal="left" vertical="top" wrapText="1"/>
    </xf>
    <xf numFmtId="164" fontId="2" fillId="0" borderId="151" applyAlignment="1" pivotButton="0" quotePrefix="0" xfId="0">
      <alignment horizontal="left" vertical="top" wrapText="1"/>
    </xf>
    <xf numFmtId="164" fontId="2" fillId="0" borderId="60" applyAlignment="1" pivotButton="0" quotePrefix="0" xfId="0">
      <alignment horizontal="center" vertical="center" wrapText="1"/>
    </xf>
    <xf numFmtId="164" fontId="2" fillId="0" borderId="152" applyAlignment="1" pivotButton="0" quotePrefix="0" xfId="0">
      <alignment horizontal="left" vertical="top" wrapText="1"/>
    </xf>
    <xf numFmtId="164" fontId="2" fillId="0" borderId="61" applyAlignment="1" pivotButton="0" quotePrefix="0" xfId="0">
      <alignment horizontal="center" vertical="center" wrapText="1"/>
    </xf>
    <xf numFmtId="165" fontId="11" fillId="0" borderId="0" applyAlignment="1" pivotButton="0" quotePrefix="0" xfId="0">
      <alignment horizontal="center" vertical="center"/>
    </xf>
    <xf numFmtId="165" fontId="2" fillId="0" borderId="0" applyAlignment="1" pivotButton="0" quotePrefix="0" xfId="0">
      <alignment horizontal="left" vertical="center"/>
    </xf>
    <xf numFmtId="165" fontId="2" fillId="0" borderId="0" applyAlignment="1" pivotButton="0" quotePrefix="0" xfId="0">
      <alignment horizontal="center"/>
    </xf>
    <xf numFmtId="167" fontId="2" fillId="0" borderId="0" pivotButton="0" quotePrefix="0" xfId="0"/>
    <xf numFmtId="167" fontId="2" fillId="0" borderId="0" applyAlignment="1" pivotButton="0" quotePrefix="0" xfId="0">
      <alignment horizontal="center"/>
    </xf>
    <xf numFmtId="165" fontId="2" fillId="0" borderId="0" applyAlignment="1" pivotButton="0" quotePrefix="0" xfId="0">
      <alignment horizontal="right"/>
    </xf>
    <xf numFmtId="165" fontId="2" fillId="2" borderId="153" applyAlignment="1" pivotButton="0" quotePrefix="0" xfId="0">
      <alignment horizontal="center" vertical="center" wrapText="1"/>
    </xf>
    <xf numFmtId="165" fontId="2" fillId="2" borderId="4" applyAlignment="1" pivotButton="0" quotePrefix="0" xfId="0">
      <alignment horizontal="center" vertical="center" wrapText="1"/>
    </xf>
    <xf numFmtId="167" fontId="2" fillId="2" borderId="154" applyAlignment="1" pivotButton="0" quotePrefix="0" xfId="0">
      <alignment horizontal="center" vertical="center"/>
    </xf>
    <xf numFmtId="167" fontId="2" fillId="2" borderId="155" applyAlignment="1" pivotButton="0" quotePrefix="0" xfId="0">
      <alignment horizontal="center" vertical="center"/>
    </xf>
    <xf numFmtId="167" fontId="2" fillId="2" borderId="156" applyAlignment="1" pivotButton="0" quotePrefix="0" xfId="0">
      <alignment horizontal="center" vertical="center"/>
    </xf>
    <xf numFmtId="167" fontId="2" fillId="2" borderId="157" applyAlignment="1" pivotButton="0" quotePrefix="0" xfId="0">
      <alignment horizontal="center" vertical="center"/>
    </xf>
    <xf numFmtId="167" fontId="2" fillId="2" borderId="4" applyAlignment="1" pivotButton="0" quotePrefix="0" xfId="0">
      <alignment horizontal="center" vertical="center"/>
    </xf>
    <xf numFmtId="165" fontId="2" fillId="2" borderId="155" applyAlignment="1" pivotButton="0" quotePrefix="0" xfId="0">
      <alignment horizontal="center" vertical="center" wrapText="1"/>
    </xf>
    <xf numFmtId="165" fontId="2" fillId="2" borderId="158" applyAlignment="1" pivotButton="0" quotePrefix="0" xfId="0">
      <alignment horizontal="center" vertical="center" wrapText="1"/>
    </xf>
    <xf numFmtId="165" fontId="2" fillId="0" borderId="19" applyAlignment="1" pivotButton="0" quotePrefix="0" xfId="0">
      <alignment horizontal="left" vertical="center" wrapText="1"/>
    </xf>
    <xf numFmtId="165" fontId="2" fillId="0" borderId="20" applyAlignment="1" pivotButton="0" quotePrefix="0" xfId="0">
      <alignment horizontal="center" vertical="center" wrapText="1"/>
    </xf>
    <xf numFmtId="164" fontId="2" fillId="0" borderId="24" applyAlignment="1" pivotButton="0" quotePrefix="0" xfId="0">
      <alignment horizontal="center" vertical="center"/>
    </xf>
    <xf numFmtId="164" fontId="2" fillId="0" borderId="21" applyAlignment="1" pivotButton="0" quotePrefix="0" xfId="0">
      <alignment horizontal="center" vertical="center" shrinkToFit="1"/>
    </xf>
    <xf numFmtId="9" fontId="2" fillId="0" borderId="22" applyAlignment="1" pivotButton="0" quotePrefix="0" xfId="0">
      <alignment horizontal="left" vertical="center" wrapText="1"/>
    </xf>
    <xf numFmtId="165" fontId="2" fillId="0" borderId="25" applyAlignment="1" pivotButton="0" quotePrefix="0" xfId="0">
      <alignment horizontal="center" vertical="center" wrapText="1"/>
    </xf>
    <xf numFmtId="165" fontId="2" fillId="0" borderId="26" applyAlignment="1" applyProtection="1" pivotButton="0" quotePrefix="0" xfId="0">
      <alignment horizontal="left" vertical="center"/>
      <protection locked="0" hidden="0"/>
    </xf>
    <xf numFmtId="165" fontId="2" fillId="0" borderId="27" applyAlignment="1" applyProtection="1" pivotButton="0" quotePrefix="0" xfId="0">
      <alignment horizontal="center" vertical="center"/>
      <protection locked="0" hidden="0"/>
    </xf>
    <xf numFmtId="164" fontId="2" fillId="0" borderId="28" applyAlignment="1" pivotButton="0" quotePrefix="0" xfId="0">
      <alignment horizontal="center" vertical="center"/>
    </xf>
    <xf numFmtId="164" fontId="2" fillId="0" borderId="29" applyAlignment="1" applyProtection="1" pivotButton="0" quotePrefix="0" xfId="0">
      <alignment horizontal="center" vertical="center"/>
      <protection locked="0" hidden="0"/>
    </xf>
    <xf numFmtId="164" fontId="2" fillId="0" borderId="85" applyAlignment="1" applyProtection="1" pivotButton="0" quotePrefix="0" xfId="0">
      <alignment horizontal="center" vertical="center"/>
      <protection locked="0" hidden="0"/>
    </xf>
    <xf numFmtId="164" fontId="2" fillId="0" borderId="30" applyAlignment="1" pivotButton="0" quotePrefix="0" xfId="0">
      <alignment horizontal="center" vertical="center"/>
    </xf>
    <xf numFmtId="164" fontId="2" fillId="0" borderId="27" applyAlignment="1" applyProtection="1" pivotButton="0" quotePrefix="0" xfId="0">
      <alignment horizontal="center" vertical="center"/>
      <protection locked="0" hidden="0"/>
    </xf>
    <xf numFmtId="9" fontId="2" fillId="0" borderId="29" pivotButton="0" quotePrefix="0" xfId="0"/>
    <xf numFmtId="165" fontId="2" fillId="0" borderId="27" applyAlignment="1" applyProtection="1" pivotButton="0" quotePrefix="0" xfId="0">
      <alignment horizontal="left"/>
      <protection locked="0" hidden="0"/>
    </xf>
    <xf numFmtId="164" fontId="2" fillId="0" borderId="36" applyAlignment="1" pivotButton="0" quotePrefix="0" xfId="0">
      <alignment horizontal="center" vertical="center"/>
    </xf>
    <xf numFmtId="164" fontId="2" fillId="0" borderId="34" applyAlignment="1" applyProtection="1" pivotButton="0" quotePrefix="0" xfId="0">
      <alignment horizontal="center" vertical="center"/>
      <protection locked="0" hidden="0"/>
    </xf>
    <xf numFmtId="164" fontId="2" fillId="0" borderId="159" applyAlignment="1" pivotButton="0" quotePrefix="0" xfId="0">
      <alignment horizontal="center" vertical="center"/>
    </xf>
    <xf numFmtId="164" fontId="2" fillId="0" borderId="28" applyAlignment="1" applyProtection="1" pivotButton="0" quotePrefix="0" xfId="0">
      <alignment horizontal="center" vertical="center"/>
      <protection locked="0" hidden="0"/>
    </xf>
    <xf numFmtId="164" fontId="2" fillId="0" borderId="160" applyAlignment="1" applyProtection="1" pivotButton="0" quotePrefix="0" xfId="0">
      <alignment horizontal="center" vertical="center"/>
      <protection locked="0" hidden="0"/>
    </xf>
    <xf numFmtId="164" fontId="2" fillId="0" borderId="161" applyAlignment="1" applyProtection="1" pivotButton="0" quotePrefix="0" xfId="0">
      <alignment horizontal="center" vertical="center"/>
      <protection locked="0" hidden="0"/>
    </xf>
    <xf numFmtId="165" fontId="2" fillId="2" borderId="162" applyAlignment="1" pivotButton="0" quotePrefix="0" xfId="0">
      <alignment horizontal="center" vertical="center"/>
    </xf>
    <xf numFmtId="165" fontId="2" fillId="2" borderId="100" applyAlignment="1" pivotButton="0" quotePrefix="0" xfId="0">
      <alignment horizontal="center"/>
    </xf>
    <xf numFmtId="164" fontId="2" fillId="2" borderId="96" applyAlignment="1" pivotButton="0" quotePrefix="0" xfId="0">
      <alignment horizontal="center" vertical="center"/>
    </xf>
    <xf numFmtId="164" fontId="2" fillId="2" borderId="163" applyAlignment="1" pivotButton="0" quotePrefix="0" xfId="0">
      <alignment horizontal="center" vertical="center"/>
    </xf>
    <xf numFmtId="164" fontId="2" fillId="2" borderId="164" applyAlignment="1" pivotButton="0" quotePrefix="0" xfId="0">
      <alignment horizontal="center" vertical="center"/>
    </xf>
    <xf numFmtId="164" fontId="2" fillId="2" borderId="165" applyAlignment="1" pivotButton="0" quotePrefix="0" xfId="0">
      <alignment horizontal="center" vertical="center"/>
    </xf>
    <xf numFmtId="164" fontId="2" fillId="2" borderId="166" applyAlignment="1" pivotButton="0" quotePrefix="0" xfId="0">
      <alignment horizontal="center" vertical="center"/>
    </xf>
    <xf numFmtId="164" fontId="2" fillId="2" borderId="99" applyAlignment="1" pivotButton="0" quotePrefix="0" xfId="0">
      <alignment horizontal="center" vertical="center"/>
    </xf>
    <xf numFmtId="164" fontId="2" fillId="2" borderId="167" applyAlignment="1" pivotButton="0" quotePrefix="0" xfId="0">
      <alignment horizontal="center" vertical="center"/>
    </xf>
    <xf numFmtId="164" fontId="2" fillId="2" borderId="168" applyAlignment="1" pivotButton="0" quotePrefix="0" xfId="0">
      <alignment horizontal="center" vertical="center"/>
    </xf>
    <xf numFmtId="164" fontId="2" fillId="2" borderId="97" applyAlignment="1" pivotButton="0" quotePrefix="0" xfId="0">
      <alignment horizontal="center" vertical="center"/>
    </xf>
    <xf numFmtId="9" fontId="2" fillId="2" borderId="97" pivotButton="0" quotePrefix="0" xfId="0"/>
    <xf numFmtId="165" fontId="2" fillId="2" borderId="169" pivotButton="0" quotePrefix="0" xfId="0"/>
    <xf numFmtId="165" fontId="2" fillId="3" borderId="0" applyAlignment="1" pivotButton="0" quotePrefix="0" xfId="0">
      <alignment horizontal="center" vertical="center"/>
    </xf>
    <xf numFmtId="165" fontId="2" fillId="3" borderId="0" applyAlignment="1" pivotButton="0" quotePrefix="0" xfId="0">
      <alignment horizontal="center"/>
    </xf>
    <xf numFmtId="167" fontId="2" fillId="3" borderId="0" pivotButton="0" quotePrefix="0" xfId="0"/>
    <xf numFmtId="165" fontId="2" fillId="3" borderId="0" applyAlignment="1" pivotButton="0" quotePrefix="0" xfId="0">
      <alignment horizontal="center" vertical="center"/>
    </xf>
    <xf numFmtId="165" fontId="2" fillId="0" borderId="0" applyAlignment="1" pivotButton="0" quotePrefix="0" xfId="0">
      <alignment vertical="center"/>
    </xf>
    <xf numFmtId="165" fontId="2" fillId="0" borderId="0" pivotButton="0" quotePrefix="0" xfId="0"/>
    <xf numFmtId="0" fontId="0" fillId="0" borderId="0" pivotButton="0" quotePrefix="0" xfId="0"/>
    <xf numFmtId="165" fontId="2" fillId="2" borderId="174" applyAlignment="1" pivotButton="0" quotePrefix="0" xfId="0">
      <alignment horizontal="center" vertical="center"/>
    </xf>
    <xf numFmtId="165" fontId="2" fillId="2" borderId="175" applyAlignment="1" pivotButton="0" quotePrefix="0" xfId="0">
      <alignment horizontal="center" vertical="center"/>
    </xf>
    <xf numFmtId="164" fontId="2" fillId="2" borderId="64" applyAlignment="1" pivotButton="0" quotePrefix="0" xfId="0">
      <alignment horizontal="center" vertical="center"/>
    </xf>
    <xf numFmtId="0" fontId="0" fillId="0" borderId="63" pivotButton="0" quotePrefix="0" xfId="0"/>
    <xf numFmtId="0" fontId="0" fillId="0" borderId="64" pivotButton="0" quotePrefix="0" xfId="0"/>
    <xf numFmtId="164" fontId="2" fillId="2" borderId="7" applyAlignment="1" pivotButton="0" quotePrefix="0" xfId="0">
      <alignment horizontal="center" vertical="center"/>
    </xf>
    <xf numFmtId="0" fontId="0" fillId="0" borderId="7" pivotButton="0" quotePrefix="0" xfId="0"/>
    <xf numFmtId="164" fontId="2" fillId="2" borderId="8" applyAlignment="1" pivotButton="0" quotePrefix="0" xfId="0">
      <alignment horizontal="center" vertical="center"/>
    </xf>
    <xf numFmtId="164" fontId="2" fillId="2" borderId="180" applyAlignment="1" pivotButton="0" quotePrefix="0" xfId="0">
      <alignment horizontal="center" vertical="center"/>
    </xf>
    <xf numFmtId="0" fontId="0" fillId="0" borderId="6" pivotButton="0" quotePrefix="0" xfId="0"/>
    <xf numFmtId="164" fontId="2" fillId="2" borderId="182" applyAlignment="1" pivotButton="0" quotePrefix="0" xfId="0">
      <alignment horizontal="center" vertical="center"/>
    </xf>
    <xf numFmtId="164" fontId="2" fillId="2" borderId="170" applyAlignment="1" pivotButton="0" quotePrefix="0" xfId="0">
      <alignment horizontal="center" vertical="center"/>
    </xf>
    <xf numFmtId="165" fontId="2" fillId="2" borderId="170" applyAlignment="1" pivotButton="0" quotePrefix="0" xfId="0">
      <alignment horizontal="center" vertical="center" wrapText="1"/>
    </xf>
    <xf numFmtId="165" fontId="2" fillId="2" borderId="172" applyAlignment="1" pivotButton="0" quotePrefix="0" xfId="0">
      <alignment horizontal="center" vertical="center" wrapText="1"/>
    </xf>
    <xf numFmtId="0" fontId="0" fillId="0" borderId="65" pivotButton="0" quotePrefix="0" xfId="0"/>
    <xf numFmtId="0" fontId="0" fillId="0" borderId="177" pivotButton="0" quotePrefix="0" xfId="0"/>
    <xf numFmtId="164" fontId="2" fillId="2" borderId="67" applyAlignment="1" pivotButton="0" quotePrefix="0" xfId="0">
      <alignment horizontal="center" vertical="center"/>
    </xf>
    <xf numFmtId="164" fontId="2" fillId="2" borderId="68" applyAlignment="1" pivotButton="0" quotePrefix="0" xfId="0">
      <alignment horizontal="center" vertical="center"/>
    </xf>
    <xf numFmtId="164" fontId="2" fillId="2" borderId="69" applyAlignment="1" pivotButton="0" quotePrefix="0" xfId="0">
      <alignment horizontal="center" vertical="center"/>
    </xf>
    <xf numFmtId="164" fontId="2" fillId="2" borderId="14" applyAlignment="1" pivotButton="0" quotePrefix="0" xfId="0">
      <alignment horizontal="center" vertical="center"/>
    </xf>
    <xf numFmtId="164" fontId="2" fillId="2" borderId="15" applyAlignment="1" pivotButton="0" quotePrefix="0" xfId="0">
      <alignment horizontal="center" vertical="center"/>
    </xf>
    <xf numFmtId="164" fontId="2" fillId="2" borderId="17" applyAlignment="1" pivotButton="0" quotePrefix="0" xfId="0">
      <alignment horizontal="center" vertical="center"/>
    </xf>
    <xf numFmtId="164" fontId="2" fillId="2" borderId="18" applyAlignment="1" pivotButton="0" quotePrefix="0" xfId="0">
      <alignment horizontal="center" vertical="center"/>
    </xf>
    <xf numFmtId="164" fontId="2" fillId="2" borderId="70" applyAlignment="1" pivotButton="0" quotePrefix="0" xfId="0">
      <alignment horizontal="center" vertical="center"/>
    </xf>
    <xf numFmtId="164" fontId="2" fillId="2" borderId="71" applyAlignment="1" pivotButton="0" quotePrefix="0" xfId="0">
      <alignment horizontal="center" vertical="center"/>
    </xf>
    <xf numFmtId="0" fontId="0" fillId="0" borderId="66" pivotButton="0" quotePrefix="0" xfId="0"/>
    <xf numFmtId="0" fontId="0" fillId="0" borderId="74" pivotButton="0" quotePrefix="0" xfId="0"/>
    <xf numFmtId="165" fontId="5" fillId="0" borderId="19" applyAlignment="1" pivotButton="0" quotePrefix="0" xfId="0">
      <alignment horizontal="left" vertical="center"/>
    </xf>
    <xf numFmtId="165" fontId="6" fillId="0" borderId="20" applyAlignment="1" pivotButton="0" quotePrefix="0" xfId="0">
      <alignment horizontal="left" vertical="center"/>
    </xf>
    <xf numFmtId="164" fontId="2" fillId="0" borderId="21" applyAlignment="1" pivotButton="0" quotePrefix="0" xfId="0">
      <alignment horizontal="right"/>
    </xf>
    <xf numFmtId="164" fontId="2" fillId="0" borderId="22" pivotButton="0" quotePrefix="0" xfId="0"/>
    <xf numFmtId="164" fontId="2" fillId="0" borderId="23" applyAlignment="1" pivotButton="0" quotePrefix="0" xfId="0">
      <alignment horizontal="center" vertical="center"/>
    </xf>
    <xf numFmtId="164" fontId="2" fillId="0" borderId="24" applyAlignment="1" pivotButton="0" quotePrefix="0" xfId="0">
      <alignment horizontal="right"/>
    </xf>
    <xf numFmtId="164" fontId="2" fillId="0" borderId="20" applyAlignment="1" pivotButton="0" quotePrefix="0" xfId="0">
      <alignment horizontal="center" vertical="center"/>
    </xf>
    <xf numFmtId="164" fontId="2" fillId="0" borderId="20" applyAlignment="1" pivotButton="0" quotePrefix="0" xfId="0">
      <alignment horizontal="center"/>
    </xf>
    <xf numFmtId="164" fontId="2" fillId="0" borderId="21" applyAlignment="1" pivotButton="0" quotePrefix="0" xfId="0">
      <alignment horizontal="center" vertical="center"/>
    </xf>
    <xf numFmtId="164" fontId="2" fillId="0" borderId="22" applyAlignment="1" pivotButton="0" quotePrefix="0" xfId="0">
      <alignment horizontal="center" vertical="center"/>
    </xf>
    <xf numFmtId="165" fontId="2" fillId="0" borderId="25" pivotButton="0" quotePrefix="0" xfId="0"/>
    <xf numFmtId="165" fontId="2" fillId="0" borderId="26" applyAlignment="1" pivotButton="0" quotePrefix="0" xfId="0">
      <alignment horizontal="left" vertical="center" indent="1"/>
    </xf>
    <xf numFmtId="165" fontId="6" fillId="0" borderId="27" applyAlignment="1" pivotButton="0" quotePrefix="0" xfId="0">
      <alignment horizontal="left" vertical="center"/>
    </xf>
    <xf numFmtId="164" fontId="2" fillId="0" borderId="28" applyAlignment="1" pivotButton="0" quotePrefix="0" xfId="0">
      <alignment horizontal="right"/>
    </xf>
    <xf numFmtId="164" fontId="2" fillId="0" borderId="29" pivotButton="0" quotePrefix="0" xfId="0"/>
    <xf numFmtId="164" fontId="2" fillId="0" borderId="30" applyAlignment="1" pivotButton="0" quotePrefix="0" xfId="0">
      <alignment horizontal="right"/>
    </xf>
    <xf numFmtId="165" fontId="2" fillId="0" borderId="31" pivotButton="0" quotePrefix="0" xfId="0"/>
    <xf numFmtId="165" fontId="2" fillId="0" borderId="32" applyAlignment="1" pivotButton="0" quotePrefix="0" xfId="0">
      <alignment horizontal="left" vertical="center" indent="1"/>
    </xf>
    <xf numFmtId="165" fontId="6" fillId="0" borderId="16" applyAlignment="1" pivotButton="0" quotePrefix="0" xfId="0">
      <alignment horizontal="left" vertical="center"/>
    </xf>
    <xf numFmtId="164" fontId="2" fillId="0" borderId="33" applyAlignment="1" pivotButton="0" quotePrefix="0" xfId="0">
      <alignment horizontal="right"/>
    </xf>
    <xf numFmtId="164" fontId="2" fillId="0" borderId="34" pivotButton="0" quotePrefix="0" xfId="0"/>
    <xf numFmtId="164" fontId="2" fillId="0" borderId="35" applyAlignment="1" pivotButton="0" quotePrefix="0" xfId="0">
      <alignment horizontal="center" vertical="center"/>
    </xf>
    <xf numFmtId="164" fontId="2" fillId="0" borderId="36" applyAlignment="1" pivotButton="0" quotePrefix="0" xfId="0">
      <alignment horizontal="right"/>
    </xf>
    <xf numFmtId="164" fontId="2" fillId="0" borderId="37" applyAlignment="1" pivotButton="0" quotePrefix="0" xfId="0">
      <alignment horizontal="center" vertical="center"/>
    </xf>
    <xf numFmtId="164" fontId="2" fillId="0" borderId="37" applyAlignment="1" pivotButton="0" quotePrefix="0" xfId="0">
      <alignment horizontal="center"/>
    </xf>
    <xf numFmtId="164" fontId="2" fillId="0" borderId="38" applyAlignment="1" pivotButton="0" quotePrefix="0" xfId="0">
      <alignment horizontal="center" vertical="center"/>
    </xf>
    <xf numFmtId="164" fontId="2" fillId="0" borderId="39" applyAlignment="1" pivotButton="0" quotePrefix="0" xfId="0">
      <alignment horizontal="center" vertical="center"/>
    </xf>
    <xf numFmtId="165" fontId="2" fillId="0" borderId="40" pivotButton="0" quotePrefix="0" xfId="0"/>
    <xf numFmtId="165" fontId="2" fillId="0" borderId="20" applyAlignment="1" pivotButton="0" quotePrefix="0" xfId="0">
      <alignment horizontal="left" vertical="center"/>
    </xf>
    <xf numFmtId="164" fontId="2" fillId="0" borderId="41" applyAlignment="1" pivotButton="0" quotePrefix="0" xfId="0">
      <alignment horizontal="right"/>
    </xf>
    <xf numFmtId="164" fontId="2" fillId="0" borderId="42" pivotButton="0" quotePrefix="0" xfId="0"/>
    <xf numFmtId="164" fontId="2" fillId="0" borderId="43" applyAlignment="1" pivotButton="0" quotePrefix="0" xfId="0">
      <alignment horizontal="center" vertical="center"/>
    </xf>
    <xf numFmtId="164" fontId="2" fillId="0" borderId="44" applyAlignment="1" pivotButton="0" quotePrefix="0" xfId="0">
      <alignment horizontal="right"/>
    </xf>
    <xf numFmtId="164" fontId="2" fillId="0" borderId="45" applyAlignment="1" pivotButton="0" quotePrefix="0" xfId="0">
      <alignment horizontal="center" vertical="center"/>
    </xf>
    <xf numFmtId="164" fontId="2" fillId="0" borderId="45" applyAlignment="1" pivotButton="0" quotePrefix="0" xfId="0">
      <alignment horizontal="center"/>
    </xf>
    <xf numFmtId="164" fontId="2" fillId="0" borderId="41" applyAlignment="1" pivotButton="0" quotePrefix="0" xfId="0">
      <alignment horizontal="center" vertical="center"/>
    </xf>
    <xf numFmtId="164" fontId="2" fillId="0" borderId="42" applyAlignment="1" pivotButton="0" quotePrefix="0" xfId="0">
      <alignment horizontal="center" vertical="center"/>
    </xf>
    <xf numFmtId="165" fontId="2" fillId="0" borderId="46" pivotButton="0" quotePrefix="0" xfId="0"/>
    <xf numFmtId="165" fontId="2" fillId="0" borderId="26" applyAlignment="1" pivotButton="0" quotePrefix="0" xfId="0">
      <alignment horizontal="left" vertical="center" wrapText="1" indent="1"/>
    </xf>
    <xf numFmtId="165" fontId="2" fillId="0" borderId="27" applyAlignment="1" pivotButton="0" quotePrefix="0" xfId="0">
      <alignment vertical="center" wrapText="1"/>
    </xf>
    <xf numFmtId="165" fontId="2" fillId="0" borderId="27" applyAlignment="1" pivotButton="0" quotePrefix="0" xfId="0">
      <alignment vertical="center"/>
    </xf>
    <xf numFmtId="165" fontId="2" fillId="0" borderId="47" applyAlignment="1" pivotButton="0" quotePrefix="0" xfId="0">
      <alignment horizontal="left" vertical="center" indent="1"/>
    </xf>
    <xf numFmtId="165" fontId="2" fillId="0" borderId="48" applyAlignment="1" pivotButton="0" quotePrefix="0" xfId="0">
      <alignment vertical="center"/>
    </xf>
    <xf numFmtId="164" fontId="2" fillId="0" borderId="14" applyAlignment="1" pivotButton="0" quotePrefix="0" xfId="0">
      <alignment horizontal="right"/>
    </xf>
    <xf numFmtId="164" fontId="2" fillId="0" borderId="15" pivotButton="0" quotePrefix="0" xfId="0"/>
    <xf numFmtId="164" fontId="2" fillId="0" borderId="49" applyAlignment="1" pivotButton="0" quotePrefix="0" xfId="0">
      <alignment horizontal="center" vertical="center"/>
    </xf>
    <xf numFmtId="164" fontId="2" fillId="0" borderId="18" applyAlignment="1" pivotButton="0" quotePrefix="0" xfId="0">
      <alignment horizontal="right"/>
    </xf>
    <xf numFmtId="164" fontId="2" fillId="0" borderId="5" applyAlignment="1" pivotButton="0" quotePrefix="0" xfId="0">
      <alignment horizontal="center" vertical="center"/>
    </xf>
    <xf numFmtId="164" fontId="2" fillId="0" borderId="5" applyAlignment="1" pivotButton="0" quotePrefix="0" xfId="0">
      <alignment horizontal="center"/>
    </xf>
    <xf numFmtId="164" fontId="2" fillId="0" borderId="50" applyAlignment="1" pivotButton="0" quotePrefix="0" xfId="0">
      <alignment horizontal="center" vertical="center"/>
    </xf>
    <xf numFmtId="164" fontId="2" fillId="0" borderId="51" applyAlignment="1" pivotButton="0" quotePrefix="0" xfId="0">
      <alignment horizontal="center" vertical="center"/>
    </xf>
    <xf numFmtId="165" fontId="2" fillId="0" borderId="52" pivotButton="0" quotePrefix="0" xfId="0"/>
    <xf numFmtId="165" fontId="5" fillId="0" borderId="53" applyAlignment="1" pivotButton="0" quotePrefix="0" xfId="0">
      <alignment vertical="center"/>
    </xf>
    <xf numFmtId="165" fontId="2" fillId="0" borderId="45" applyAlignment="1" pivotButton="0" quotePrefix="0" xfId="0">
      <alignment vertical="center"/>
    </xf>
    <xf numFmtId="165" fontId="6" fillId="0" borderId="27" applyAlignment="1" pivotButton="0" quotePrefix="0" xfId="0">
      <alignment vertical="center"/>
    </xf>
    <xf numFmtId="165" fontId="6" fillId="0" borderId="16" applyAlignment="1" pivotButton="0" quotePrefix="0" xfId="0">
      <alignment vertical="center"/>
    </xf>
    <xf numFmtId="165" fontId="5" fillId="0" borderId="19" applyAlignment="1" pivotButton="0" quotePrefix="0" xfId="0">
      <alignment vertical="center"/>
    </xf>
    <xf numFmtId="165" fontId="2" fillId="0" borderId="20" applyAlignment="1" pivotButton="0" quotePrefix="0" xfId="0">
      <alignment vertical="center"/>
    </xf>
    <xf numFmtId="164" fontId="2" fillId="0" borderId="33" pivotButton="0" quotePrefix="0" xfId="0"/>
    <xf numFmtId="164" fontId="2" fillId="0" borderId="18" pivotButton="0" quotePrefix="0" xfId="0"/>
    <xf numFmtId="164" fontId="2" fillId="0" borderId="14" pivotButton="0" quotePrefix="0" xfId="0"/>
    <xf numFmtId="165" fontId="5" fillId="0" borderId="45" applyAlignment="1" pivotButton="0" quotePrefix="0" xfId="0">
      <alignment vertical="center"/>
    </xf>
    <xf numFmtId="164" fontId="2" fillId="0" borderId="41" pivotButton="0" quotePrefix="0" xfId="0"/>
    <xf numFmtId="164" fontId="2" fillId="0" borderId="24" pivotButton="0" quotePrefix="0" xfId="0"/>
    <xf numFmtId="164" fontId="2" fillId="0" borderId="21" pivotButton="0" quotePrefix="0" xfId="0"/>
    <xf numFmtId="165" fontId="7" fillId="0" borderId="25" pivotButton="0" quotePrefix="0" xfId="0"/>
    <xf numFmtId="164" fontId="2" fillId="0" borderId="28" pivotButton="0" quotePrefix="0" xfId="0"/>
    <xf numFmtId="164" fontId="2" fillId="0" borderId="30" pivotButton="0" quotePrefix="0" xfId="0"/>
    <xf numFmtId="165" fontId="2" fillId="0" borderId="16" applyAlignment="1" pivotButton="0" quotePrefix="0" xfId="0">
      <alignment vertical="center"/>
    </xf>
    <xf numFmtId="164" fontId="2" fillId="0" borderId="36" pivotButton="0" quotePrefix="0" xfId="0"/>
    <xf numFmtId="165" fontId="5" fillId="0" borderId="54" applyAlignment="1" pivotButton="0" quotePrefix="0" xfId="0">
      <alignment horizontal="left" vertical="center"/>
    </xf>
    <xf numFmtId="165" fontId="2" fillId="0" borderId="55" applyAlignment="1" pivotButton="0" quotePrefix="0" xfId="0">
      <alignment horizontal="left" vertical="center"/>
    </xf>
    <xf numFmtId="164" fontId="2" fillId="0" borderId="56" pivotButton="0" quotePrefix="0" xfId="0"/>
    <xf numFmtId="164" fontId="2" fillId="0" borderId="57" pivotButton="0" quotePrefix="0" xfId="0"/>
    <xf numFmtId="164" fontId="2" fillId="0" borderId="58" applyAlignment="1" pivotButton="0" quotePrefix="0" xfId="0">
      <alignment horizontal="center" vertical="center"/>
    </xf>
    <xf numFmtId="164" fontId="2" fillId="0" borderId="59" pivotButton="0" quotePrefix="0" xfId="0"/>
    <xf numFmtId="164" fontId="2" fillId="0" borderId="60" applyAlignment="1" pivotButton="0" quotePrefix="0" xfId="0">
      <alignment horizontal="center" vertical="center"/>
    </xf>
    <xf numFmtId="164" fontId="2" fillId="0" borderId="60" applyAlignment="1" pivotButton="0" quotePrefix="0" xfId="0">
      <alignment horizontal="center"/>
    </xf>
    <xf numFmtId="164" fontId="2" fillId="0" borderId="56" applyAlignment="1" pivotButton="0" quotePrefix="0" xfId="0">
      <alignment horizontal="center" vertical="center"/>
    </xf>
    <xf numFmtId="164" fontId="2" fillId="0" borderId="57" applyAlignment="1" pivotButton="0" quotePrefix="0" xfId="0">
      <alignment horizontal="center" vertical="center"/>
    </xf>
    <xf numFmtId="165" fontId="2" fillId="0" borderId="61" pivotButton="0" quotePrefix="0" xfId="0"/>
    <xf numFmtId="0" fontId="2" fillId="2" borderId="183" applyAlignment="1" pivotButton="0" quotePrefix="0" xfId="0">
      <alignment horizontal="center" vertical="center" wrapText="1"/>
    </xf>
    <xf numFmtId="0" fontId="2" fillId="2" borderId="185" applyAlignment="1" pivotButton="0" quotePrefix="0" xfId="0">
      <alignment horizontal="center" vertical="center" wrapText="1"/>
    </xf>
    <xf numFmtId="0" fontId="2" fillId="2" borderId="188" applyAlignment="1" pivotButton="0" quotePrefix="0" xfId="0">
      <alignment horizontal="center" vertical="center"/>
    </xf>
    <xf numFmtId="0" fontId="0" fillId="0" borderId="3" pivotButton="0" quotePrefix="0" xfId="0"/>
    <xf numFmtId="0" fontId="0" fillId="0" borderId="11" pivotButton="0" quotePrefix="0" xfId="0"/>
    <xf numFmtId="0" fontId="0" fillId="0" borderId="13" pivotButton="0" quotePrefix="0" xfId="0"/>
    <xf numFmtId="164" fontId="2" fillId="0" borderId="21" applyAlignment="1" pivotButton="0" quotePrefix="0" xfId="0">
      <alignment horizontal="center" vertical="center" wrapText="1"/>
    </xf>
    <xf numFmtId="164" fontId="2" fillId="0" borderId="22" applyAlignment="1" pivotButton="0" quotePrefix="0" xfId="0">
      <alignment horizontal="center" vertical="center" wrapText="1"/>
    </xf>
    <xf numFmtId="164" fontId="2" fillId="0" borderId="23" applyAlignment="1" pivotButton="0" quotePrefix="0" xfId="0">
      <alignment horizontal="center" vertical="center" wrapText="1"/>
    </xf>
    <xf numFmtId="164" fontId="2" fillId="0" borderId="24" applyAlignment="1" pivotButton="0" quotePrefix="0" xfId="0">
      <alignment horizontal="center" vertical="center" wrapText="1"/>
    </xf>
    <xf numFmtId="164" fontId="2" fillId="0" borderId="20" applyAlignment="1" pivotButton="0" quotePrefix="0" xfId="0">
      <alignment horizontal="center" vertical="center" wrapText="1"/>
    </xf>
    <xf numFmtId="164" fontId="2" fillId="0" borderId="79" applyAlignment="1" pivotButton="0" quotePrefix="0" xfId="0">
      <alignment horizontal="center" vertical="center" wrapText="1"/>
    </xf>
    <xf numFmtId="164" fontId="2" fillId="0" borderId="14" applyAlignment="1" pivotButton="0" quotePrefix="0" xfId="0">
      <alignment horizontal="center" vertical="center" wrapText="1"/>
    </xf>
    <xf numFmtId="164" fontId="2" fillId="0" borderId="15" applyAlignment="1" pivotButton="0" quotePrefix="0" xfId="0">
      <alignment horizontal="center" vertical="center" wrapText="1"/>
    </xf>
    <xf numFmtId="164" fontId="2" fillId="0" borderId="17" applyAlignment="1" pivotButton="0" quotePrefix="0" xfId="0">
      <alignment horizontal="center" vertical="center" wrapText="1"/>
    </xf>
    <xf numFmtId="164" fontId="2" fillId="0" borderId="18" applyAlignment="1" pivotButton="0" quotePrefix="0" xfId="0">
      <alignment horizontal="center" vertical="center" wrapText="1"/>
    </xf>
    <xf numFmtId="164" fontId="2" fillId="0" borderId="16" applyAlignment="1" pivotButton="0" quotePrefix="0" xfId="0">
      <alignment horizontal="center" vertical="center" wrapText="1"/>
    </xf>
    <xf numFmtId="164" fontId="2" fillId="0" borderId="82" applyAlignment="1" pivotButton="0" quotePrefix="0" xfId="0">
      <alignment horizontal="center" vertical="center" wrapText="1"/>
    </xf>
    <xf numFmtId="164" fontId="2" fillId="0" borderId="28" applyAlignment="1" pivotButton="0" quotePrefix="0" xfId="0">
      <alignment horizontal="center" vertical="center" wrapText="1"/>
    </xf>
    <xf numFmtId="164" fontId="2" fillId="0" borderId="29" applyAlignment="1" pivotButton="0" quotePrefix="0" xfId="0">
      <alignment horizontal="center" vertical="center" wrapText="1"/>
    </xf>
    <xf numFmtId="164" fontId="2" fillId="0" borderId="85" applyAlignment="1" pivotButton="0" quotePrefix="0" xfId="0">
      <alignment horizontal="center" vertical="center" wrapText="1"/>
    </xf>
    <xf numFmtId="164" fontId="2" fillId="0" borderId="30" applyAlignment="1" pivotButton="0" quotePrefix="0" xfId="0">
      <alignment horizontal="center" vertical="center" wrapText="1"/>
    </xf>
    <xf numFmtId="164" fontId="2" fillId="0" borderId="27" applyAlignment="1" pivotButton="0" quotePrefix="0" xfId="0">
      <alignment horizontal="center" vertical="center" wrapText="1"/>
    </xf>
    <xf numFmtId="164" fontId="2" fillId="0" borderId="86" applyAlignment="1" pivotButton="0" quotePrefix="0" xfId="0">
      <alignment horizontal="center" vertical="center" wrapText="1"/>
    </xf>
    <xf numFmtId="164" fontId="2" fillId="0" borderId="33" applyAlignment="1" pivotButton="0" quotePrefix="0" xfId="0">
      <alignment horizontal="center" vertical="center" wrapText="1"/>
    </xf>
    <xf numFmtId="164" fontId="2" fillId="0" borderId="34" applyAlignment="1" pivotButton="0" quotePrefix="0" xfId="0">
      <alignment horizontal="center" vertical="center" wrapText="1"/>
    </xf>
    <xf numFmtId="164" fontId="2" fillId="0" borderId="89" applyAlignment="1" pivotButton="0" quotePrefix="0" xfId="0">
      <alignment horizontal="center" vertical="center" wrapText="1"/>
    </xf>
    <xf numFmtId="164" fontId="2" fillId="0" borderId="36" applyAlignment="1" pivotButton="0" quotePrefix="0" xfId="0">
      <alignment horizontal="center" vertical="center" wrapText="1"/>
    </xf>
    <xf numFmtId="164" fontId="2" fillId="0" borderId="48" applyAlignment="1" pivotButton="0" quotePrefix="0" xfId="0">
      <alignment horizontal="center" vertical="center" wrapText="1"/>
    </xf>
    <xf numFmtId="164" fontId="2" fillId="0" borderId="41" applyAlignment="1" pivotButton="0" quotePrefix="0" xfId="0">
      <alignment horizontal="center" vertical="center" wrapText="1"/>
    </xf>
    <xf numFmtId="164" fontId="2" fillId="0" borderId="42" applyAlignment="1" pivotButton="0" quotePrefix="0" xfId="0">
      <alignment horizontal="center" vertical="center" wrapText="1"/>
    </xf>
    <xf numFmtId="164" fontId="2" fillId="0" borderId="43" applyAlignment="1" pivotButton="0" quotePrefix="0" xfId="0">
      <alignment horizontal="center" vertical="center" wrapText="1"/>
    </xf>
    <xf numFmtId="164" fontId="2" fillId="0" borderId="44" applyAlignment="1" pivotButton="0" quotePrefix="0" xfId="0">
      <alignment horizontal="center" vertical="center" wrapText="1"/>
    </xf>
    <xf numFmtId="164" fontId="2" fillId="0" borderId="45" applyAlignment="1" pivotButton="0" quotePrefix="0" xfId="0">
      <alignment horizontal="center" vertical="center" wrapText="1"/>
    </xf>
    <xf numFmtId="164" fontId="2" fillId="0" borderId="29" applyAlignment="1" pivotButton="0" quotePrefix="0" xfId="0">
      <alignment horizontal="center" vertical="center"/>
    </xf>
    <xf numFmtId="164" fontId="2" fillId="0" borderId="92" applyAlignment="1" pivotButton="0" quotePrefix="0" xfId="0">
      <alignment horizontal="center" vertical="center" wrapText="1"/>
    </xf>
    <xf numFmtId="164" fontId="2" fillId="0" borderId="93" applyAlignment="1" pivotButton="0" quotePrefix="0" xfId="0">
      <alignment horizontal="center" vertical="center" wrapText="1"/>
    </xf>
    <xf numFmtId="164" fontId="2" fillId="0" borderId="96" applyAlignment="1" pivotButton="0" quotePrefix="0" xfId="0">
      <alignment horizontal="center" vertical="center" wrapText="1"/>
    </xf>
    <xf numFmtId="164" fontId="2" fillId="0" borderId="97" applyAlignment="1" pivotButton="0" quotePrefix="0" xfId="0">
      <alignment horizontal="center" vertical="center" wrapText="1"/>
    </xf>
    <xf numFmtId="164" fontId="2" fillId="0" borderId="98" applyAlignment="1" pivotButton="0" quotePrefix="0" xfId="0">
      <alignment horizontal="center" vertical="center" wrapText="1"/>
    </xf>
    <xf numFmtId="164" fontId="2" fillId="0" borderId="99" applyAlignment="1" pivotButton="0" quotePrefix="0" xfId="0">
      <alignment horizontal="center" vertical="center" wrapText="1"/>
    </xf>
    <xf numFmtId="164" fontId="2" fillId="0" borderId="100" applyAlignment="1" pivotButton="0" quotePrefix="0" xfId="0">
      <alignment horizontal="center" vertical="center" wrapText="1"/>
    </xf>
    <xf numFmtId="164" fontId="2" fillId="0" borderId="101" applyAlignment="1" pivotButton="0" quotePrefix="0" xfId="0">
      <alignment horizontal="center" vertical="center" wrapText="1"/>
    </xf>
    <xf numFmtId="164" fontId="2" fillId="0" borderId="108" applyAlignment="1" pivotButton="0" quotePrefix="0" xfId="0">
      <alignment horizontal="left" vertical="center" wrapText="1"/>
    </xf>
    <xf numFmtId="164" fontId="2" fillId="0" borderId="109" applyAlignment="1" pivotButton="0" quotePrefix="0" xfId="0">
      <alignment horizontal="left" vertical="center" wrapText="1"/>
    </xf>
    <xf numFmtId="164" fontId="2" fillId="0" borderId="112" applyAlignment="1" pivotButton="0" quotePrefix="0" xfId="0">
      <alignment horizontal="left" vertical="center" wrapText="1"/>
    </xf>
    <xf numFmtId="164" fontId="2" fillId="0" borderId="113" applyAlignment="1" pivotButton="0" quotePrefix="0" xfId="0">
      <alignment horizontal="left" vertical="center" wrapText="1"/>
    </xf>
    <xf numFmtId="164" fontId="2" fillId="0" borderId="116" applyAlignment="1" pivotButton="0" quotePrefix="0" xfId="0">
      <alignment horizontal="left" vertical="center" wrapText="1"/>
    </xf>
    <xf numFmtId="164" fontId="2" fillId="0" borderId="117" applyAlignment="1" pivotButton="0" quotePrefix="0" xfId="0">
      <alignment horizontal="left" vertical="center" wrapText="1"/>
    </xf>
    <xf numFmtId="164" fontId="2" fillId="0" borderId="120" applyAlignment="1" pivotButton="0" quotePrefix="0" xfId="0">
      <alignment horizontal="left" vertical="center" wrapText="1"/>
    </xf>
    <xf numFmtId="164" fontId="2" fillId="0" borderId="121" applyAlignment="1" pivotButton="0" quotePrefix="0" xfId="0">
      <alignment horizontal="left" vertical="center" wrapText="1"/>
    </xf>
    <xf numFmtId="164" fontId="2" fillId="0" borderId="124" applyAlignment="1" pivotButton="0" quotePrefix="0" xfId="0">
      <alignment horizontal="left" vertical="center" wrapText="1"/>
    </xf>
    <xf numFmtId="164" fontId="2" fillId="0" borderId="125" applyAlignment="1" pivotButton="0" quotePrefix="0" xfId="0">
      <alignment horizontal="left" vertical="center" wrapText="1"/>
    </xf>
    <xf numFmtId="164" fontId="2" fillId="0" borderId="128" applyAlignment="1" pivotButton="0" quotePrefix="0" xfId="0">
      <alignment horizontal="left" vertical="center" wrapText="1"/>
    </xf>
    <xf numFmtId="164" fontId="2" fillId="0" borderId="129" applyAlignment="1" pivotButton="0" quotePrefix="0" xfId="0">
      <alignment horizontal="left" vertical="center" wrapText="1"/>
    </xf>
    <xf numFmtId="164" fontId="2" fillId="0" borderId="108" applyAlignment="1" pivotButton="0" quotePrefix="0" xfId="0">
      <alignment horizontal="center" vertical="center" wrapText="1"/>
    </xf>
    <xf numFmtId="164" fontId="2" fillId="0" borderId="132" applyAlignment="1" pivotButton="0" quotePrefix="0" xfId="0">
      <alignment horizontal="center" vertical="center" wrapText="1"/>
    </xf>
    <xf numFmtId="164" fontId="2" fillId="0" borderId="133" applyAlignment="1" pivotButton="0" quotePrefix="0" xfId="0">
      <alignment horizontal="left" vertical="center" wrapText="1"/>
    </xf>
    <xf numFmtId="166" fontId="1" fillId="0" borderId="0" applyAlignment="1" pivotButton="0" quotePrefix="0" xfId="0">
      <alignment horizontal="left"/>
    </xf>
    <xf numFmtId="0" fontId="2" fillId="2" borderId="190" applyAlignment="1" pivotButton="0" quotePrefix="0" xfId="0">
      <alignment horizontal="center" vertical="center" wrapText="1"/>
    </xf>
    <xf numFmtId="0" fontId="2" fillId="2" borderId="180" applyAlignment="1" pivotButton="0" quotePrefix="0" xfId="0">
      <alignment horizontal="center" vertical="center" wrapText="1"/>
    </xf>
    <xf numFmtId="0" fontId="0" fillId="0" borderId="135" pivotButton="0" quotePrefix="0" xfId="0"/>
    <xf numFmtId="0" fontId="0" fillId="0" borderId="134" pivotButton="0" quotePrefix="0" xfId="0"/>
    <xf numFmtId="164" fontId="2" fillId="0" borderId="24" applyAlignment="1" pivotButton="0" quotePrefix="0" xfId="0">
      <alignment horizontal="left" vertical="center" wrapText="1"/>
    </xf>
    <xf numFmtId="164" fontId="2" fillId="0" borderId="22" applyAlignment="1" pivotButton="0" quotePrefix="0" xfId="0">
      <alignment horizontal="left" vertical="center" wrapText="1"/>
    </xf>
    <xf numFmtId="164" fontId="2" fillId="0" borderId="21" applyAlignment="1" pivotButton="0" quotePrefix="0" xfId="0">
      <alignment horizontal="left" vertical="center" wrapText="1"/>
    </xf>
    <xf numFmtId="164" fontId="2" fillId="0" borderId="25" applyAlignment="1" pivotButton="0" quotePrefix="0" xfId="0">
      <alignment horizontal="center" vertical="center" wrapText="1"/>
    </xf>
    <xf numFmtId="164" fontId="2" fillId="0" borderId="30" applyAlignment="1" pivotButton="0" quotePrefix="0" xfId="0">
      <alignment horizontal="left" vertical="center" wrapText="1"/>
    </xf>
    <xf numFmtId="164" fontId="2" fillId="0" borderId="29" applyAlignment="1" pivotButton="0" quotePrefix="0" xfId="0">
      <alignment horizontal="left" vertical="center" wrapText="1"/>
    </xf>
    <xf numFmtId="164" fontId="2" fillId="0" borderId="28" applyAlignment="1" pivotButton="0" quotePrefix="0" xfId="0">
      <alignment horizontal="left" vertical="center" wrapText="1"/>
    </xf>
    <xf numFmtId="164" fontId="2" fillId="0" borderId="36" applyAlignment="1" pivotButton="0" quotePrefix="0" xfId="0">
      <alignment horizontal="left" vertical="center" wrapText="1"/>
    </xf>
    <xf numFmtId="164" fontId="2" fillId="0" borderId="34" applyAlignment="1" pivotButton="0" quotePrefix="0" xfId="0">
      <alignment horizontal="left" vertical="center" wrapText="1"/>
    </xf>
    <xf numFmtId="164" fontId="2" fillId="0" borderId="37" applyAlignment="1" pivotButton="0" quotePrefix="0" xfId="0">
      <alignment horizontal="center" vertical="center" wrapText="1"/>
    </xf>
    <xf numFmtId="164" fontId="2" fillId="0" borderId="33" applyAlignment="1" pivotButton="0" quotePrefix="0" xfId="0">
      <alignment horizontal="left" vertical="center" wrapText="1"/>
    </xf>
    <xf numFmtId="164" fontId="2" fillId="0" borderId="139" applyAlignment="1" pivotButton="0" quotePrefix="0" xfId="0">
      <alignment horizontal="center" vertical="center" wrapText="1"/>
    </xf>
    <xf numFmtId="164" fontId="2" fillId="0" borderId="142" applyAlignment="1" pivotButton="0" quotePrefix="0" xfId="0">
      <alignment horizontal="left" vertical="center" wrapText="1"/>
    </xf>
    <xf numFmtId="164" fontId="2" fillId="0" borderId="143" applyAlignment="1" pivotButton="0" quotePrefix="0" xfId="0">
      <alignment horizontal="left" vertical="center" wrapText="1"/>
    </xf>
    <xf numFmtId="164" fontId="2" fillId="0" borderId="144" applyAlignment="1" pivotButton="0" quotePrefix="0" xfId="0">
      <alignment horizontal="center" vertical="center" wrapText="1"/>
    </xf>
    <xf numFmtId="164" fontId="2" fillId="0" borderId="145" applyAlignment="1" pivotButton="0" quotePrefix="0" xfId="0">
      <alignment horizontal="left" vertical="center" wrapText="1"/>
    </xf>
    <xf numFmtId="164" fontId="2" fillId="0" borderId="146" applyAlignment="1" pivotButton="0" quotePrefix="0" xfId="0">
      <alignment horizontal="center" vertical="center" wrapText="1"/>
    </xf>
    <xf numFmtId="164" fontId="2" fillId="0" borderId="147" applyAlignment="1" pivotButton="0" quotePrefix="0" xfId="0">
      <alignment horizontal="left" vertical="center" wrapText="1"/>
    </xf>
    <xf numFmtId="164" fontId="2" fillId="0" borderId="51" applyAlignment="1" pivotButton="0" quotePrefix="0" xfId="0">
      <alignment horizontal="left" vertical="center" wrapText="1"/>
    </xf>
    <xf numFmtId="164" fontId="2" fillId="0" borderId="36" applyAlignment="1" pivotButton="0" quotePrefix="0" xfId="0">
      <alignment horizontal="left" vertical="top" wrapText="1"/>
    </xf>
    <xf numFmtId="164" fontId="2" fillId="0" borderId="34" applyAlignment="1" pivotButton="0" quotePrefix="0" xfId="0">
      <alignment horizontal="left" vertical="top" wrapText="1"/>
    </xf>
    <xf numFmtId="164" fontId="2" fillId="0" borderId="33" applyAlignment="1" pivotButton="0" quotePrefix="0" xfId="0">
      <alignment horizontal="left" vertical="top" wrapText="1"/>
    </xf>
    <xf numFmtId="164" fontId="2" fillId="0" borderId="150" applyAlignment="1" pivotButton="0" quotePrefix="0" xfId="0">
      <alignment horizontal="left" vertical="top" wrapText="1"/>
    </xf>
    <xf numFmtId="164" fontId="2" fillId="0" borderId="151" applyAlignment="1" pivotButton="0" quotePrefix="0" xfId="0">
      <alignment horizontal="left" vertical="top" wrapText="1"/>
    </xf>
    <xf numFmtId="164" fontId="2" fillId="0" borderId="60" applyAlignment="1" pivotButton="0" quotePrefix="0" xfId="0">
      <alignment horizontal="center" vertical="center" wrapText="1"/>
    </xf>
    <xf numFmtId="164" fontId="2" fillId="0" borderId="152" applyAlignment="1" pivotButton="0" quotePrefix="0" xfId="0">
      <alignment horizontal="left" vertical="top" wrapText="1"/>
    </xf>
    <xf numFmtId="164" fontId="2" fillId="0" borderId="61" applyAlignment="1" pivotButton="0" quotePrefix="0" xfId="0">
      <alignment horizontal="center" vertical="center" wrapText="1"/>
    </xf>
    <xf numFmtId="165" fontId="11" fillId="0" borderId="0" applyAlignment="1" pivotButton="0" quotePrefix="0" xfId="0">
      <alignment horizontal="center" vertical="center"/>
    </xf>
    <xf numFmtId="165" fontId="2" fillId="0" borderId="0" applyAlignment="1" pivotButton="0" quotePrefix="0" xfId="0">
      <alignment horizontal="left" vertical="center"/>
    </xf>
    <xf numFmtId="165" fontId="2" fillId="0" borderId="0" applyAlignment="1" pivotButton="0" quotePrefix="0" xfId="0">
      <alignment horizontal="center"/>
    </xf>
    <xf numFmtId="167" fontId="2" fillId="0" borderId="0" pivotButton="0" quotePrefix="0" xfId="0"/>
    <xf numFmtId="167" fontId="2" fillId="0" borderId="0" applyAlignment="1" pivotButton="0" quotePrefix="0" xfId="0">
      <alignment horizontal="center"/>
    </xf>
    <xf numFmtId="165" fontId="2" fillId="0" borderId="0" applyAlignment="1" pivotButton="0" quotePrefix="0" xfId="0">
      <alignment horizontal="right"/>
    </xf>
    <xf numFmtId="165" fontId="2" fillId="2" borderId="153" applyAlignment="1" pivotButton="0" quotePrefix="0" xfId="0">
      <alignment horizontal="center" vertical="center" wrapText="1"/>
    </xf>
    <xf numFmtId="165" fontId="2" fillId="2" borderId="4" applyAlignment="1" pivotButton="0" quotePrefix="0" xfId="0">
      <alignment horizontal="center" vertical="center" wrapText="1"/>
    </xf>
    <xf numFmtId="167" fontId="2" fillId="2" borderId="154" applyAlignment="1" pivotButton="0" quotePrefix="0" xfId="0">
      <alignment horizontal="center" vertical="center"/>
    </xf>
    <xf numFmtId="167" fontId="2" fillId="2" borderId="155" applyAlignment="1" pivotButton="0" quotePrefix="0" xfId="0">
      <alignment horizontal="center" vertical="center"/>
    </xf>
    <xf numFmtId="167" fontId="2" fillId="2" borderId="156" applyAlignment="1" pivotButton="0" quotePrefix="0" xfId="0">
      <alignment horizontal="center" vertical="center"/>
    </xf>
    <xf numFmtId="167" fontId="2" fillId="2" borderId="157" applyAlignment="1" pivotButton="0" quotePrefix="0" xfId="0">
      <alignment horizontal="center" vertical="center"/>
    </xf>
    <xf numFmtId="167" fontId="2" fillId="2" borderId="4" applyAlignment="1" pivotButton="0" quotePrefix="0" xfId="0">
      <alignment horizontal="center" vertical="center"/>
    </xf>
    <xf numFmtId="165" fontId="2" fillId="2" borderId="155" applyAlignment="1" pivotButton="0" quotePrefix="0" xfId="0">
      <alignment horizontal="center" vertical="center" wrapText="1"/>
    </xf>
    <xf numFmtId="165" fontId="2" fillId="2" borderId="158" applyAlignment="1" pivotButton="0" quotePrefix="0" xfId="0">
      <alignment horizontal="center" vertical="center" wrapText="1"/>
    </xf>
    <xf numFmtId="165" fontId="2" fillId="0" borderId="19" applyAlignment="1" pivotButton="0" quotePrefix="0" xfId="0">
      <alignment horizontal="left" vertical="center" wrapText="1"/>
    </xf>
    <xf numFmtId="165" fontId="2" fillId="0" borderId="20" applyAlignment="1" pivotButton="0" quotePrefix="0" xfId="0">
      <alignment horizontal="center" vertical="center" wrapText="1"/>
    </xf>
    <xf numFmtId="164" fontId="2" fillId="0" borderId="24" applyAlignment="1" pivotButton="0" quotePrefix="0" xfId="0">
      <alignment horizontal="center" vertical="center"/>
    </xf>
    <xf numFmtId="164" fontId="2" fillId="0" borderId="21" applyAlignment="1" pivotButton="0" quotePrefix="0" xfId="0">
      <alignment horizontal="center" vertical="center" shrinkToFit="1"/>
    </xf>
    <xf numFmtId="165" fontId="2" fillId="0" borderId="25" applyAlignment="1" pivotButton="0" quotePrefix="0" xfId="0">
      <alignment horizontal="center" vertical="center" wrapText="1"/>
    </xf>
    <xf numFmtId="165" fontId="2" fillId="0" borderId="26" applyAlignment="1" applyProtection="1" pivotButton="0" quotePrefix="0" xfId="0">
      <alignment horizontal="left" vertical="center"/>
      <protection locked="0" hidden="0"/>
    </xf>
    <xf numFmtId="165" fontId="2" fillId="0" borderId="27" applyAlignment="1" applyProtection="1" pivotButton="0" quotePrefix="0" xfId="0">
      <alignment horizontal="center" vertical="center"/>
      <protection locked="0" hidden="0"/>
    </xf>
    <xf numFmtId="164" fontId="2" fillId="0" borderId="28" applyAlignment="1" pivotButton="0" quotePrefix="0" xfId="0">
      <alignment horizontal="center" vertical="center"/>
    </xf>
    <xf numFmtId="164" fontId="2" fillId="0" borderId="29" applyAlignment="1" applyProtection="1" pivotButton="0" quotePrefix="0" xfId="0">
      <alignment horizontal="center" vertical="center"/>
      <protection locked="0" hidden="0"/>
    </xf>
    <xf numFmtId="164" fontId="2" fillId="0" borderId="85" applyAlignment="1" applyProtection="1" pivotButton="0" quotePrefix="0" xfId="0">
      <alignment horizontal="center" vertical="center"/>
      <protection locked="0" hidden="0"/>
    </xf>
    <xf numFmtId="164" fontId="2" fillId="0" borderId="30" applyAlignment="1" pivotButton="0" quotePrefix="0" xfId="0">
      <alignment horizontal="center" vertical="center"/>
    </xf>
    <xf numFmtId="164" fontId="2" fillId="0" borderId="27" applyAlignment="1" applyProtection="1" pivotButton="0" quotePrefix="0" xfId="0">
      <alignment horizontal="center" vertical="center"/>
      <protection locked="0" hidden="0"/>
    </xf>
    <xf numFmtId="165" fontId="2" fillId="0" borderId="27" applyAlignment="1" applyProtection="1" pivotButton="0" quotePrefix="0" xfId="0">
      <alignment horizontal="left"/>
      <protection locked="0" hidden="0"/>
    </xf>
    <xf numFmtId="164" fontId="2" fillId="0" borderId="36" applyAlignment="1" pivotButton="0" quotePrefix="0" xfId="0">
      <alignment horizontal="center" vertical="center"/>
    </xf>
    <xf numFmtId="164" fontId="2" fillId="0" borderId="34" applyAlignment="1" applyProtection="1" pivotButton="0" quotePrefix="0" xfId="0">
      <alignment horizontal="center" vertical="center"/>
      <protection locked="0" hidden="0"/>
    </xf>
    <xf numFmtId="164" fontId="2" fillId="0" borderId="159" applyAlignment="1" pivotButton="0" quotePrefix="0" xfId="0">
      <alignment horizontal="center" vertical="center"/>
    </xf>
    <xf numFmtId="164" fontId="2" fillId="0" borderId="28" applyAlignment="1" applyProtection="1" pivotButton="0" quotePrefix="0" xfId="0">
      <alignment horizontal="center" vertical="center"/>
      <protection locked="0" hidden="0"/>
    </xf>
    <xf numFmtId="164" fontId="2" fillId="0" borderId="160" applyAlignment="1" applyProtection="1" pivotButton="0" quotePrefix="0" xfId="0">
      <alignment horizontal="center" vertical="center"/>
      <protection locked="0" hidden="0"/>
    </xf>
    <xf numFmtId="164" fontId="2" fillId="0" borderId="161" applyAlignment="1" applyProtection="1" pivotButton="0" quotePrefix="0" xfId="0">
      <alignment horizontal="center" vertical="center"/>
      <protection locked="0" hidden="0"/>
    </xf>
    <xf numFmtId="165" fontId="2" fillId="2" borderId="162" applyAlignment="1" pivotButton="0" quotePrefix="0" xfId="0">
      <alignment horizontal="center" vertical="center"/>
    </xf>
    <xf numFmtId="165" fontId="2" fillId="2" borderId="100" applyAlignment="1" pivotButton="0" quotePrefix="0" xfId="0">
      <alignment horizontal="center"/>
    </xf>
    <xf numFmtId="164" fontId="2" fillId="2" borderId="96" applyAlignment="1" pivotButton="0" quotePrefix="0" xfId="0">
      <alignment horizontal="center" vertical="center"/>
    </xf>
    <xf numFmtId="164" fontId="2" fillId="2" borderId="163" applyAlignment="1" pivotButton="0" quotePrefix="0" xfId="0">
      <alignment horizontal="center" vertical="center"/>
    </xf>
    <xf numFmtId="164" fontId="2" fillId="2" borderId="164" applyAlignment="1" pivotButton="0" quotePrefix="0" xfId="0">
      <alignment horizontal="center" vertical="center"/>
    </xf>
    <xf numFmtId="164" fontId="2" fillId="2" borderId="165" applyAlignment="1" pivotButton="0" quotePrefix="0" xfId="0">
      <alignment horizontal="center" vertical="center"/>
    </xf>
    <xf numFmtId="164" fontId="2" fillId="2" borderId="166" applyAlignment="1" pivotButton="0" quotePrefix="0" xfId="0">
      <alignment horizontal="center" vertical="center"/>
    </xf>
    <xf numFmtId="164" fontId="2" fillId="2" borderId="99" applyAlignment="1" pivotButton="0" quotePrefix="0" xfId="0">
      <alignment horizontal="center" vertical="center"/>
    </xf>
    <xf numFmtId="164" fontId="2" fillId="2" borderId="167" applyAlignment="1" pivotButton="0" quotePrefix="0" xfId="0">
      <alignment horizontal="center" vertical="center"/>
    </xf>
    <xf numFmtId="164" fontId="2" fillId="2" borderId="168" applyAlignment="1" pivotButton="0" quotePrefix="0" xfId="0">
      <alignment horizontal="center" vertical="center"/>
    </xf>
    <xf numFmtId="164" fontId="2" fillId="2" borderId="97" applyAlignment="1" pivotButton="0" quotePrefix="0" xfId="0">
      <alignment horizontal="center" vertical="center"/>
    </xf>
    <xf numFmtId="165" fontId="2" fillId="2" borderId="169" pivotButton="0" quotePrefix="0" xfId="0"/>
    <xf numFmtId="165" fontId="2" fillId="3" borderId="0" applyAlignment="1" pivotButton="0" quotePrefix="0" xfId="0">
      <alignment horizontal="center" vertical="center"/>
    </xf>
    <xf numFmtId="165" fontId="2" fillId="3" borderId="0" applyAlignment="1" pivotButton="0" quotePrefix="0" xfId="0">
      <alignment horizontal="center"/>
    </xf>
    <xf numFmtId="167" fontId="2" fillId="3" borderId="0" pivotButton="0" quotePrefix="0" xfId="0"/>
    <xf numFmtId="165" fontId="2" fillId="0" borderId="0" applyAlignment="1" pivotButton="0" quotePrefix="0" xfId="0">
      <alignment vertical="center"/>
    </xf>
    <xf numFmtId="165" fontId="2" fillId="0" borderId="0" pivotButton="0" quotePrefix="0" xfId="0"/>
  </cellXfs>
  <cellStyles count="1">
    <cellStyle name="Normal" xfId="0" builtinId="0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styles" Target="styles.xml" Id="rId6" /><Relationship Type="http://schemas.openxmlformats.org/officeDocument/2006/relationships/theme" Target="theme/theme1.xml" Id="rId7" 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>
  <sheetPr>
    <outlinePr summaryBelow="1" summaryRight="1"/>
    <pageSetUpPr/>
  </sheetPr>
  <dimension ref="A1:W24"/>
  <sheetViews>
    <sheetView topLeftCell="A3" workbookViewId="0">
      <selection activeCell="A21" sqref="A21"/>
    </sheetView>
  </sheetViews>
  <sheetFormatPr baseColWidth="8" defaultRowHeight="14"/>
  <cols>
    <col width="38.36328125" customWidth="1" style="335" min="1" max="1"/>
  </cols>
  <sheetData>
    <row r="1" ht="24" customHeight="1" s="335">
      <c r="A1" s="4" t="inlineStr">
        <is>
          <t>損     益     表</t>
        </is>
      </c>
    </row>
    <row r="2" ht="24.5" customHeight="1" s="335" thickBot="1">
      <c r="A2" s="5" t="inlineStr">
        <is>
          <t>編制單位：</t>
        </is>
      </c>
      <c r="C2" s="4" t="n"/>
      <c r="D2" s="4" t="n"/>
      <c r="E2" s="4" t="n"/>
      <c r="F2" s="6" t="n"/>
      <c r="G2" s="6" t="inlineStr">
        <is>
          <t>編制日期：</t>
        </is>
      </c>
      <c r="H2" s="4" t="n"/>
      <c r="I2" s="1" t="n"/>
      <c r="J2" s="4" t="n"/>
      <c r="K2" s="6" t="n"/>
      <c r="L2" s="4" t="n"/>
      <c r="M2" s="4" t="n"/>
      <c r="N2" s="4" t="n"/>
      <c r="O2" s="6" t="inlineStr">
        <is>
          <t>預算年度：</t>
        </is>
      </c>
      <c r="P2" s="4" t="n"/>
      <c r="Q2" s="4" t="n"/>
      <c r="R2" s="4" t="n"/>
      <c r="S2" s="4" t="n"/>
      <c r="T2" s="1" t="n"/>
      <c r="U2" s="4" t="n"/>
      <c r="V2" s="4" t="n"/>
      <c r="W2" s="7" t="inlineStr">
        <is>
          <t>單位：元</t>
        </is>
      </c>
    </row>
    <row r="3" ht="14.5" customHeight="1" s="335">
      <c r="A3" s="336" t="inlineStr">
        <is>
          <t>專案</t>
        </is>
      </c>
      <c r="B3" s="337" t="inlineStr">
        <is>
          <t>內容</t>
        </is>
      </c>
      <c r="C3" s="338" t="inlineStr">
        <is>
          <t>一季度</t>
        </is>
      </c>
      <c r="D3" s="339" t="n"/>
      <c r="E3" s="339" t="n"/>
      <c r="F3" s="340" t="n"/>
      <c r="G3" s="341" t="inlineStr">
        <is>
          <t>二季度</t>
        </is>
      </c>
      <c r="H3" s="342" t="n"/>
      <c r="I3" s="342" t="n"/>
      <c r="J3" s="342" t="n"/>
      <c r="K3" s="343" t="inlineStr">
        <is>
          <t>三季度</t>
        </is>
      </c>
      <c r="L3" s="342" t="n"/>
      <c r="M3" s="342" t="n"/>
      <c r="N3" s="342" t="n"/>
      <c r="O3" s="344" t="inlineStr">
        <is>
          <t>四季度</t>
        </is>
      </c>
      <c r="P3" s="342" t="n"/>
      <c r="Q3" s="342" t="n"/>
      <c r="R3" s="345" t="n"/>
      <c r="S3" s="346" t="inlineStr">
        <is>
          <t>全年</t>
        </is>
      </c>
      <c r="T3" s="347" t="inlineStr">
        <is>
          <t>上年實際</t>
        </is>
      </c>
      <c r="U3" s="347" t="inlineStr">
        <is>
          <t>增減數</t>
        </is>
      </c>
      <c r="V3" s="348" t="inlineStr">
        <is>
          <t>增減%</t>
        </is>
      </c>
      <c r="W3" s="349" t="inlineStr">
        <is>
          <t>預算責任人</t>
        </is>
      </c>
    </row>
    <row r="4" ht="14.5" customHeight="1" s="335">
      <c r="A4" s="350" t="n"/>
      <c r="B4" s="351" t="n"/>
      <c r="C4" s="352" t="inlineStr">
        <is>
          <t>1月</t>
        </is>
      </c>
      <c r="D4" s="353" t="inlineStr">
        <is>
          <t>2月</t>
        </is>
      </c>
      <c r="E4" s="353" t="inlineStr">
        <is>
          <t>3月</t>
        </is>
      </c>
      <c r="F4" s="354" t="inlineStr">
        <is>
          <t>小計</t>
        </is>
      </c>
      <c r="G4" s="355" t="inlineStr">
        <is>
          <t>4月</t>
        </is>
      </c>
      <c r="H4" s="356" t="inlineStr">
        <is>
          <t>5月</t>
        </is>
      </c>
      <c r="I4" s="356" t="inlineStr">
        <is>
          <t>6月</t>
        </is>
      </c>
      <c r="J4" s="357" t="inlineStr">
        <is>
          <t>小計</t>
        </is>
      </c>
      <c r="K4" s="358" t="inlineStr">
        <is>
          <t>7月</t>
        </is>
      </c>
      <c r="L4" s="356" t="inlineStr">
        <is>
          <t>8月</t>
        </is>
      </c>
      <c r="M4" s="356" t="inlineStr">
        <is>
          <t>9月</t>
        </is>
      </c>
      <c r="N4" s="357" t="inlineStr">
        <is>
          <t>小計</t>
        </is>
      </c>
      <c r="O4" s="359" t="inlineStr">
        <is>
          <t>10月</t>
        </is>
      </c>
      <c r="P4" s="353" t="inlineStr">
        <is>
          <t>11月</t>
        </is>
      </c>
      <c r="Q4" s="353" t="inlineStr">
        <is>
          <t>12月</t>
        </is>
      </c>
      <c r="R4" s="360" t="inlineStr">
        <is>
          <t>小計</t>
        </is>
      </c>
      <c r="S4" s="361" t="n"/>
      <c r="T4" s="350" t="n"/>
      <c r="U4" s="350" t="n"/>
      <c r="V4" s="350" t="n"/>
      <c r="W4" s="362" t="n"/>
    </row>
    <row r="5" ht="14.5" customHeight="1" s="335">
      <c r="A5" s="363" t="inlineStr">
        <is>
          <t>一、主營業務收入</t>
        </is>
      </c>
      <c r="B5" s="364" t="n"/>
      <c r="C5" s="365" t="n"/>
      <c r="D5" s="366" t="n"/>
      <c r="E5" s="366" t="n"/>
      <c r="F5" s="367">
        <f>SUM(C5:E5)</f>
        <v/>
      </c>
      <c r="G5" s="368" t="n"/>
      <c r="H5" s="366" t="n"/>
      <c r="I5" s="366" t="n"/>
      <c r="J5" s="369">
        <f>SUM(G5:I5)</f>
        <v/>
      </c>
      <c r="K5" s="365" t="n"/>
      <c r="L5" s="366" t="n"/>
      <c r="M5" s="366" t="n"/>
      <c r="N5" s="367">
        <f>SUM(K5:M5)</f>
        <v/>
      </c>
      <c r="O5" s="368" t="n"/>
      <c r="P5" s="366" t="n"/>
      <c r="Q5" s="366" t="n"/>
      <c r="R5" s="370">
        <f>SUM(O5:Q5)</f>
        <v/>
      </c>
      <c r="S5" s="371">
        <f>F5+J5+N5+R5</f>
        <v/>
      </c>
      <c r="T5" s="366" t="n"/>
      <c r="U5" s="372">
        <f>S5-T5</f>
        <v/>
      </c>
      <c r="V5" s="26">
        <f>U5/S5</f>
        <v/>
      </c>
      <c r="W5" s="373" t="n"/>
    </row>
    <row r="6" ht="14.5" customHeight="1" s="335">
      <c r="A6" s="374" t="inlineStr">
        <is>
          <t>減：主營業務成本</t>
        </is>
      </c>
      <c r="B6" s="375" t="n"/>
      <c r="C6" s="376" t="n"/>
      <c r="D6" s="377" t="n"/>
      <c r="E6" s="377" t="n"/>
      <c r="F6" s="367">
        <f>SUM(C6:E6)</f>
        <v/>
      </c>
      <c r="G6" s="378" t="n"/>
      <c r="H6" s="377" t="n"/>
      <c r="I6" s="377" t="n"/>
      <c r="J6" s="369">
        <f>SUM(G6:I6)</f>
        <v/>
      </c>
      <c r="K6" s="376" t="n"/>
      <c r="L6" s="377" t="n"/>
      <c r="M6" s="377" t="n"/>
      <c r="N6" s="367">
        <f>SUM(K6:M6)</f>
        <v/>
      </c>
      <c r="O6" s="378" t="n"/>
      <c r="P6" s="377" t="n"/>
      <c r="Q6" s="377" t="n"/>
      <c r="R6" s="370">
        <f>SUM(O6:Q6)</f>
        <v/>
      </c>
      <c r="S6" s="371">
        <f>F6+J6+N6+R6</f>
        <v/>
      </c>
      <c r="T6" s="377" t="n"/>
      <c r="U6" s="372">
        <f>S6-T6</f>
        <v/>
      </c>
      <c r="V6" s="26">
        <f>U6/S6</f>
        <v/>
      </c>
      <c r="W6" s="379" t="n"/>
    </row>
    <row r="7" ht="14.5" customHeight="1" s="335">
      <c r="A7" s="380" t="inlineStr">
        <is>
          <t>主營業務稅金及附加</t>
        </is>
      </c>
      <c r="B7" s="381" t="n"/>
      <c r="C7" s="382" t="n"/>
      <c r="D7" s="383" t="n"/>
      <c r="E7" s="383" t="n"/>
      <c r="F7" s="384">
        <f>SUM(C7:E7)</f>
        <v/>
      </c>
      <c r="G7" s="385" t="n"/>
      <c r="H7" s="383" t="n"/>
      <c r="I7" s="383" t="n"/>
      <c r="J7" s="386">
        <f>SUM(G7:I7)</f>
        <v/>
      </c>
      <c r="K7" s="382" t="n"/>
      <c r="L7" s="383" t="n"/>
      <c r="M7" s="383" t="n"/>
      <c r="N7" s="384">
        <f>SUM(K7:M7)</f>
        <v/>
      </c>
      <c r="O7" s="385" t="n"/>
      <c r="P7" s="383" t="n"/>
      <c r="Q7" s="383" t="n"/>
      <c r="R7" s="387">
        <f>SUM(O7:Q7)</f>
        <v/>
      </c>
      <c r="S7" s="388">
        <f>F7+J7+N7+R7</f>
        <v/>
      </c>
      <c r="T7" s="383" t="n"/>
      <c r="U7" s="389">
        <f>S7-T7</f>
        <v/>
      </c>
      <c r="V7" s="44">
        <f>U7/S7</f>
        <v/>
      </c>
      <c r="W7" s="390" t="n"/>
    </row>
    <row r="8" ht="14.5" customHeight="1" s="335">
      <c r="A8" s="363" t="inlineStr">
        <is>
          <t>二、主營業務利潤</t>
        </is>
      </c>
      <c r="B8" s="391" t="n"/>
      <c r="C8" s="392" t="n"/>
      <c r="D8" s="393" t="n"/>
      <c r="E8" s="393" t="n"/>
      <c r="F8" s="394">
        <f>SUM(C8:E8)</f>
        <v/>
      </c>
      <c r="G8" s="395" t="n"/>
      <c r="H8" s="393" t="n"/>
      <c r="I8" s="393" t="n"/>
      <c r="J8" s="396">
        <f>SUM(G8:I8)</f>
        <v/>
      </c>
      <c r="K8" s="392" t="n"/>
      <c r="L8" s="393" t="n"/>
      <c r="M8" s="393" t="n"/>
      <c r="N8" s="394">
        <f>SUM(K8:M8)</f>
        <v/>
      </c>
      <c r="O8" s="395" t="n"/>
      <c r="P8" s="393" t="n"/>
      <c r="Q8" s="393" t="n"/>
      <c r="R8" s="397">
        <f>SUM(O8:Q8)</f>
        <v/>
      </c>
      <c r="S8" s="398">
        <f>F8+J8+N8+R8</f>
        <v/>
      </c>
      <c r="T8" s="393" t="n"/>
      <c r="U8" s="399">
        <f>S8-T8</f>
        <v/>
      </c>
      <c r="V8" s="55">
        <f>U8/S8</f>
        <v/>
      </c>
      <c r="W8" s="400" t="n"/>
    </row>
    <row r="9" ht="14.5" customHeight="1" s="335">
      <c r="A9" s="401" t="inlineStr">
        <is>
          <t>加：其他業務利潤（虧損以“-”填列）</t>
        </is>
      </c>
      <c r="B9" s="402" t="n"/>
      <c r="C9" s="376" t="n"/>
      <c r="D9" s="377" t="n"/>
      <c r="E9" s="377" t="n"/>
      <c r="F9" s="367">
        <f>SUM(C9:E9)</f>
        <v/>
      </c>
      <c r="G9" s="378" t="n"/>
      <c r="H9" s="377" t="n"/>
      <c r="I9" s="377" t="n"/>
      <c r="J9" s="369">
        <f>SUM(G9:I9)</f>
        <v/>
      </c>
      <c r="K9" s="376" t="n"/>
      <c r="L9" s="377" t="n"/>
      <c r="M9" s="377" t="n"/>
      <c r="N9" s="367">
        <f>SUM(K9:M9)</f>
        <v/>
      </c>
      <c r="O9" s="378" t="n"/>
      <c r="P9" s="377" t="n"/>
      <c r="Q9" s="377" t="n"/>
      <c r="R9" s="370">
        <f>SUM(O9:Q9)</f>
        <v/>
      </c>
      <c r="S9" s="371">
        <f>F9+J9+N9+R9</f>
        <v/>
      </c>
      <c r="T9" s="377" t="n"/>
      <c r="U9" s="372">
        <f>S9-T9</f>
        <v/>
      </c>
      <c r="V9" s="26">
        <f>U9/S9</f>
        <v/>
      </c>
      <c r="W9" s="379" t="n"/>
    </row>
    <row r="10" ht="14.5" customHeight="1" s="335">
      <c r="A10" s="374" t="inlineStr">
        <is>
          <t>銷售費用</t>
        </is>
      </c>
      <c r="B10" s="403" t="n"/>
      <c r="C10" s="376" t="n"/>
      <c r="D10" s="377" t="n"/>
      <c r="E10" s="377" t="n"/>
      <c r="F10" s="367">
        <f>SUM(C10:E10)</f>
        <v/>
      </c>
      <c r="G10" s="378" t="n"/>
      <c r="H10" s="377" t="n"/>
      <c r="I10" s="377" t="n"/>
      <c r="J10" s="369">
        <f>SUM(G10:I10)</f>
        <v/>
      </c>
      <c r="K10" s="376" t="n"/>
      <c r="L10" s="377" t="n"/>
      <c r="M10" s="377" t="n"/>
      <c r="N10" s="367">
        <f>SUM(K10:M10)</f>
        <v/>
      </c>
      <c r="O10" s="378" t="n"/>
      <c r="P10" s="377" t="n"/>
      <c r="Q10" s="377" t="n"/>
      <c r="R10" s="370">
        <f>SUM(O10:Q10)</f>
        <v/>
      </c>
      <c r="S10" s="371">
        <f>F10+J10+N10+R10</f>
        <v/>
      </c>
      <c r="T10" s="377" t="n"/>
      <c r="U10" s="372">
        <f>S10-T10</f>
        <v/>
      </c>
      <c r="V10" s="26">
        <f>U10/S10</f>
        <v/>
      </c>
      <c r="W10" s="379" t="n"/>
    </row>
    <row r="11" ht="14.5" customHeight="1" s="335">
      <c r="A11" s="374" t="inlineStr">
        <is>
          <t>管理費用</t>
        </is>
      </c>
      <c r="B11" s="403" t="n"/>
      <c r="C11" s="376" t="n"/>
      <c r="D11" s="377" t="n"/>
      <c r="E11" s="377" t="n"/>
      <c r="F11" s="367">
        <f>SUM(C11:E11)</f>
        <v/>
      </c>
      <c r="G11" s="378" t="n"/>
      <c r="H11" s="377" t="n"/>
      <c r="I11" s="377" t="n"/>
      <c r="J11" s="369">
        <f>SUM(G11:I11)</f>
        <v/>
      </c>
      <c r="K11" s="376" t="n"/>
      <c r="L11" s="377" t="n"/>
      <c r="M11" s="377" t="n"/>
      <c r="N11" s="367">
        <f>SUM(K11:M11)</f>
        <v/>
      </c>
      <c r="O11" s="378" t="n"/>
      <c r="P11" s="377" t="n"/>
      <c r="Q11" s="377" t="n"/>
      <c r="R11" s="370">
        <f>SUM(O11:Q11)</f>
        <v/>
      </c>
      <c r="S11" s="371">
        <f>F11+J11+N11+R11</f>
        <v/>
      </c>
      <c r="T11" s="377" t="n"/>
      <c r="U11" s="372">
        <f>S11-T11</f>
        <v/>
      </c>
      <c r="V11" s="26">
        <f>U11/S11</f>
        <v/>
      </c>
      <c r="W11" s="379" t="n"/>
    </row>
    <row r="12" ht="14.5" customHeight="1" s="335">
      <c r="A12" s="404" t="inlineStr">
        <is>
          <t>財務費用</t>
        </is>
      </c>
      <c r="B12" s="405" t="n"/>
      <c r="C12" s="406" t="n"/>
      <c r="D12" s="407" t="n"/>
      <c r="E12" s="407" t="n"/>
      <c r="F12" s="408">
        <f>SUM(C12:E12)</f>
        <v/>
      </c>
      <c r="G12" s="409" t="n"/>
      <c r="H12" s="407" t="n"/>
      <c r="I12" s="407" t="n"/>
      <c r="J12" s="410">
        <f>SUM(G12:I12)</f>
        <v/>
      </c>
      <c r="K12" s="406" t="n"/>
      <c r="L12" s="407" t="n"/>
      <c r="M12" s="407" t="n"/>
      <c r="N12" s="408">
        <f>SUM(K12:M12)</f>
        <v/>
      </c>
      <c r="O12" s="409" t="n"/>
      <c r="P12" s="407" t="n"/>
      <c r="Q12" s="407" t="n"/>
      <c r="R12" s="411">
        <f>SUM(O12:Q12)</f>
        <v/>
      </c>
      <c r="S12" s="412">
        <f>F12+J12+N12+R12</f>
        <v/>
      </c>
      <c r="T12" s="407" t="n"/>
      <c r="U12" s="413">
        <f>S12-T12</f>
        <v/>
      </c>
      <c r="V12" s="70">
        <f>U12/S12</f>
        <v/>
      </c>
      <c r="W12" s="414" t="n"/>
    </row>
    <row r="13" ht="14.5" customHeight="1" s="335">
      <c r="A13" s="415" t="inlineStr">
        <is>
          <t>三、營業利潤</t>
        </is>
      </c>
      <c r="B13" s="416" t="n"/>
      <c r="C13" s="365" t="n"/>
      <c r="D13" s="366" t="n"/>
      <c r="E13" s="366" t="n"/>
      <c r="F13" s="367">
        <f>SUM(C13:E13)</f>
        <v/>
      </c>
      <c r="G13" s="368" t="n"/>
      <c r="H13" s="366" t="n"/>
      <c r="I13" s="366" t="n"/>
      <c r="J13" s="369">
        <f>SUM(G13:I13)</f>
        <v/>
      </c>
      <c r="K13" s="365" t="n"/>
      <c r="L13" s="366" t="n"/>
      <c r="M13" s="366" t="n"/>
      <c r="N13" s="367">
        <f>SUM(K13:M13)</f>
        <v/>
      </c>
      <c r="O13" s="368" t="n"/>
      <c r="P13" s="366" t="n"/>
      <c r="Q13" s="366" t="n"/>
      <c r="R13" s="370">
        <f>SUM(O13:Q13)</f>
        <v/>
      </c>
      <c r="S13" s="371">
        <f>F13+J13+N13+R13</f>
        <v/>
      </c>
      <c r="T13" s="366" t="n"/>
      <c r="U13" s="372">
        <f>S13-T13</f>
        <v/>
      </c>
      <c r="V13" s="26">
        <f>U13/S13</f>
        <v/>
      </c>
      <c r="W13" s="373" t="n"/>
    </row>
    <row r="14" ht="14.5" customHeight="1" s="335">
      <c r="A14" s="374" t="inlineStr">
        <is>
          <t>加：投資收益</t>
        </is>
      </c>
      <c r="B14" s="417" t="n"/>
      <c r="C14" s="376" t="n"/>
      <c r="D14" s="377" t="n"/>
      <c r="E14" s="377" t="n"/>
      <c r="F14" s="367">
        <f>SUM(C14:E14)</f>
        <v/>
      </c>
      <c r="G14" s="378" t="n"/>
      <c r="H14" s="377" t="n"/>
      <c r="I14" s="377" t="n"/>
      <c r="J14" s="369">
        <f>SUM(G14:I14)</f>
        <v/>
      </c>
      <c r="K14" s="376" t="n"/>
      <c r="L14" s="377" t="n"/>
      <c r="M14" s="377" t="n"/>
      <c r="N14" s="367">
        <f>SUM(K14:M14)</f>
        <v/>
      </c>
      <c r="O14" s="378" t="n"/>
      <c r="P14" s="377" t="n"/>
      <c r="Q14" s="377" t="n"/>
      <c r="R14" s="370">
        <f>SUM(O14:Q14)</f>
        <v/>
      </c>
      <c r="S14" s="371">
        <f>F14+J14+N14+R14</f>
        <v/>
      </c>
      <c r="T14" s="377" t="n"/>
      <c r="U14" s="372">
        <f>S14-T14</f>
        <v/>
      </c>
      <c r="V14" s="26">
        <f>U14/S14</f>
        <v/>
      </c>
      <c r="W14" s="379" t="n"/>
    </row>
    <row r="15" ht="14.5" customHeight="1" s="335">
      <c r="A15" s="374" t="inlineStr">
        <is>
          <t>營業外收入</t>
        </is>
      </c>
      <c r="B15" s="403" t="n"/>
      <c r="C15" s="376" t="n"/>
      <c r="D15" s="377" t="n"/>
      <c r="E15" s="377" t="n"/>
      <c r="F15" s="367">
        <f>SUM(C15:E15)</f>
        <v/>
      </c>
      <c r="G15" s="378" t="n"/>
      <c r="H15" s="377" t="n"/>
      <c r="I15" s="377" t="n"/>
      <c r="J15" s="369">
        <f>SUM(G15:I15)</f>
        <v/>
      </c>
      <c r="K15" s="376" t="n"/>
      <c r="L15" s="377" t="n"/>
      <c r="M15" s="377" t="n"/>
      <c r="N15" s="367">
        <f>SUM(K15:M15)</f>
        <v/>
      </c>
      <c r="O15" s="378" t="n"/>
      <c r="P15" s="377" t="n"/>
      <c r="Q15" s="377" t="n"/>
      <c r="R15" s="370">
        <f>SUM(O15:Q15)</f>
        <v/>
      </c>
      <c r="S15" s="371">
        <f>F15+J15+N15+R15</f>
        <v/>
      </c>
      <c r="T15" s="377" t="n"/>
      <c r="U15" s="372">
        <f>S15-T15</f>
        <v/>
      </c>
      <c r="V15" s="26">
        <f>U15/S15</f>
        <v/>
      </c>
      <c r="W15" s="379" t="n"/>
    </row>
    <row r="16" ht="14.5" customHeight="1" s="335">
      <c r="A16" s="380" t="inlineStr">
        <is>
          <t>減：營業外支出</t>
        </is>
      </c>
      <c r="B16" s="418" t="n"/>
      <c r="C16" s="406" t="n"/>
      <c r="D16" s="383" t="n"/>
      <c r="E16" s="383" t="n"/>
      <c r="F16" s="384">
        <f>SUM(C16:E16)</f>
        <v/>
      </c>
      <c r="G16" s="385" t="n"/>
      <c r="H16" s="383" t="n"/>
      <c r="I16" s="383" t="n"/>
      <c r="J16" s="386">
        <f>SUM(G16:I16)</f>
        <v/>
      </c>
      <c r="K16" s="382" t="n"/>
      <c r="L16" s="383" t="n"/>
      <c r="M16" s="383" t="n"/>
      <c r="N16" s="384">
        <f>SUM(K16:M16)</f>
        <v/>
      </c>
      <c r="O16" s="385" t="n"/>
      <c r="P16" s="383" t="n"/>
      <c r="Q16" s="383" t="n"/>
      <c r="R16" s="387">
        <f>SUM(O16:Q16)</f>
        <v/>
      </c>
      <c r="S16" s="388">
        <f>F16+J16+N16+R16</f>
        <v/>
      </c>
      <c r="T16" s="383" t="n"/>
      <c r="U16" s="389">
        <f>S16-T16</f>
        <v/>
      </c>
      <c r="V16" s="44">
        <f>U16/S16</f>
        <v/>
      </c>
      <c r="W16" s="390" t="n"/>
    </row>
    <row r="17" ht="14.5" customHeight="1" s="335">
      <c r="A17" s="419" t="inlineStr">
        <is>
          <t>四、利潤總額</t>
        </is>
      </c>
      <c r="B17" s="420" t="n"/>
      <c r="C17" s="365" t="n"/>
      <c r="D17" s="393" t="n"/>
      <c r="E17" s="393" t="n"/>
      <c r="F17" s="394">
        <f>SUM(C17:E17)</f>
        <v/>
      </c>
      <c r="G17" s="395" t="n"/>
      <c r="H17" s="393" t="n"/>
      <c r="I17" s="393" t="n"/>
      <c r="J17" s="396">
        <f>SUM(G17:I17)</f>
        <v/>
      </c>
      <c r="K17" s="392" t="n"/>
      <c r="L17" s="393" t="n"/>
      <c r="M17" s="393" t="n"/>
      <c r="N17" s="394">
        <f>SUM(K17:M17)</f>
        <v/>
      </c>
      <c r="O17" s="395" t="n"/>
      <c r="P17" s="393" t="n"/>
      <c r="Q17" s="393" t="n"/>
      <c r="R17" s="397">
        <f>SUM(O17:Q17)</f>
        <v/>
      </c>
      <c r="S17" s="398">
        <f>F17+J17+N17+R17</f>
        <v/>
      </c>
      <c r="T17" s="393" t="n"/>
      <c r="U17" s="399">
        <f>S17-T17</f>
        <v/>
      </c>
      <c r="V17" s="55">
        <f>U17/S17</f>
        <v/>
      </c>
      <c r="W17" s="400" t="n"/>
    </row>
    <row r="18" ht="14.5" customHeight="1" s="335">
      <c r="A18" s="404" t="inlineStr">
        <is>
          <t>減：所得稅</t>
        </is>
      </c>
      <c r="B18" s="405" t="n"/>
      <c r="C18" s="421" t="n"/>
      <c r="D18" s="407" t="n"/>
      <c r="E18" s="407" t="n"/>
      <c r="F18" s="408">
        <f>SUM(C18:E18)</f>
        <v/>
      </c>
      <c r="G18" s="422" t="n"/>
      <c r="H18" s="407" t="n"/>
      <c r="I18" s="407" t="n"/>
      <c r="J18" s="410">
        <f>SUM(G18:I18)</f>
        <v/>
      </c>
      <c r="K18" s="423" t="n"/>
      <c r="L18" s="407" t="n"/>
      <c r="M18" s="407" t="n"/>
      <c r="N18" s="408">
        <f>SUM(K18:M18)</f>
        <v/>
      </c>
      <c r="O18" s="422" t="n"/>
      <c r="P18" s="407" t="n"/>
      <c r="Q18" s="407" t="n"/>
      <c r="R18" s="411">
        <f>SUM(O18:Q18)</f>
        <v/>
      </c>
      <c r="S18" s="412">
        <f>F18+J18+N18+R18</f>
        <v/>
      </c>
      <c r="T18" s="407" t="n"/>
      <c r="U18" s="413">
        <f>S18-T18</f>
        <v/>
      </c>
      <c r="V18" s="70">
        <f>U18/S18</f>
        <v/>
      </c>
      <c r="W18" s="414" t="n"/>
    </row>
    <row r="19" ht="14.5" customHeight="1" s="335">
      <c r="A19" s="415" t="inlineStr">
        <is>
          <t>五、淨利潤</t>
        </is>
      </c>
      <c r="B19" s="424" t="n"/>
      <c r="C19" s="425" t="n"/>
      <c r="D19" s="366" t="n"/>
      <c r="E19" s="366" t="n"/>
      <c r="F19" s="367">
        <f>SUM(C19:E19)</f>
        <v/>
      </c>
      <c r="G19" s="426" t="n"/>
      <c r="H19" s="366" t="n"/>
      <c r="I19" s="366" t="n"/>
      <c r="J19" s="369">
        <f>SUM(G19:I19)</f>
        <v/>
      </c>
      <c r="K19" s="427" t="n"/>
      <c r="L19" s="366" t="n"/>
      <c r="M19" s="366" t="n"/>
      <c r="N19" s="367">
        <f>SUM(K19:M19)</f>
        <v/>
      </c>
      <c r="O19" s="426" t="n"/>
      <c r="P19" s="366" t="n"/>
      <c r="Q19" s="366" t="n"/>
      <c r="R19" s="370">
        <f>SUM(O19:Q19)</f>
        <v/>
      </c>
      <c r="S19" s="371">
        <f>F19+J19+N19+R19</f>
        <v/>
      </c>
      <c r="T19" s="366" t="n"/>
      <c r="U19" s="372">
        <f>S19-T19</f>
        <v/>
      </c>
      <c r="V19" s="26">
        <f>U19/S19</f>
        <v/>
      </c>
      <c r="W19" s="428" t="n"/>
    </row>
    <row r="20" ht="14.5" customHeight="1" s="335">
      <c r="A20" s="374" t="inlineStr">
        <is>
          <t>加：年初未分配利潤</t>
        </is>
      </c>
      <c r="B20" s="403" t="n"/>
      <c r="C20" s="429" t="n"/>
      <c r="D20" s="377" t="n"/>
      <c r="E20" s="377" t="n"/>
      <c r="F20" s="367">
        <f>SUM(C20:E20)</f>
        <v/>
      </c>
      <c r="G20" s="430" t="n"/>
      <c r="H20" s="377" t="n"/>
      <c r="I20" s="377" t="n"/>
      <c r="J20" s="369">
        <f>SUM(G20:I20)</f>
        <v/>
      </c>
      <c r="K20" s="429" t="n"/>
      <c r="L20" s="377" t="n"/>
      <c r="M20" s="377" t="n"/>
      <c r="N20" s="367">
        <f>SUM(K20:M20)</f>
        <v/>
      </c>
      <c r="O20" s="430" t="n"/>
      <c r="P20" s="377" t="n"/>
      <c r="Q20" s="377" t="n"/>
      <c r="R20" s="370">
        <f>SUM(O20:Q20)</f>
        <v/>
      </c>
      <c r="S20" s="371">
        <f>F20+J20+N20+R20</f>
        <v/>
      </c>
      <c r="T20" s="377" t="n"/>
      <c r="U20" s="372">
        <f>S20-T20</f>
        <v/>
      </c>
      <c r="V20" s="26">
        <f>U20/S20</f>
        <v/>
      </c>
      <c r="W20" s="379" t="n"/>
    </row>
    <row r="21" ht="14.5" customHeight="1" s="335">
      <c r="A21" s="374" t="inlineStr">
        <is>
          <t>減：提取法定盈餘公積</t>
        </is>
      </c>
      <c r="B21" s="403" t="n"/>
      <c r="C21" s="429" t="n"/>
      <c r="D21" s="377" t="n"/>
      <c r="E21" s="377" t="n"/>
      <c r="F21" s="367">
        <f>SUM(C21:E21)</f>
        <v/>
      </c>
      <c r="G21" s="430" t="n"/>
      <c r="H21" s="377" t="n"/>
      <c r="I21" s="377" t="n"/>
      <c r="J21" s="369">
        <f>SUM(G21:I21)</f>
        <v/>
      </c>
      <c r="K21" s="429" t="n"/>
      <c r="L21" s="377" t="n"/>
      <c r="M21" s="377" t="n"/>
      <c r="N21" s="367">
        <f>SUM(K21:M21)</f>
        <v/>
      </c>
      <c r="O21" s="430" t="n"/>
      <c r="P21" s="377" t="n"/>
      <c r="Q21" s="377" t="n"/>
      <c r="R21" s="370">
        <f>SUM(O21:Q21)</f>
        <v/>
      </c>
      <c r="S21" s="371">
        <f>F21+J21+N21+R21</f>
        <v/>
      </c>
      <c r="T21" s="377" t="n"/>
      <c r="U21" s="372">
        <f>S21-T21</f>
        <v/>
      </c>
      <c r="V21" s="26">
        <f>U21/S21</f>
        <v/>
      </c>
      <c r="W21" s="379" t="n"/>
    </row>
    <row r="22" ht="14.5" customHeight="1" s="335">
      <c r="A22" s="374" t="inlineStr">
        <is>
          <t>提取法定公益金</t>
        </is>
      </c>
      <c r="B22" s="403" t="n"/>
      <c r="C22" s="429" t="n"/>
      <c r="D22" s="377" t="n"/>
      <c r="E22" s="377" t="n"/>
      <c r="F22" s="367">
        <f>SUM(C22:E22)</f>
        <v/>
      </c>
      <c r="G22" s="430" t="n"/>
      <c r="H22" s="377" t="n"/>
      <c r="I22" s="377" t="n"/>
      <c r="J22" s="369">
        <f>SUM(G22:I22)</f>
        <v/>
      </c>
      <c r="K22" s="429" t="n"/>
      <c r="L22" s="377" t="n"/>
      <c r="M22" s="377" t="n"/>
      <c r="N22" s="367">
        <f>SUM(K22:M22)</f>
        <v/>
      </c>
      <c r="O22" s="430" t="n"/>
      <c r="P22" s="377" t="n"/>
      <c r="Q22" s="377" t="n"/>
      <c r="R22" s="370">
        <f>SUM(O22:Q22)</f>
        <v/>
      </c>
      <c r="S22" s="371">
        <f>F22+J22+N22+R22</f>
        <v/>
      </c>
      <c r="T22" s="377" t="n"/>
      <c r="U22" s="372">
        <f>S22-T22</f>
        <v/>
      </c>
      <c r="V22" s="26">
        <f>U22/S22</f>
        <v/>
      </c>
      <c r="W22" s="379" t="n"/>
    </row>
    <row r="23" ht="14.5" customHeight="1" s="335">
      <c r="A23" s="380" t="inlineStr">
        <is>
          <t>應付利潤</t>
        </is>
      </c>
      <c r="B23" s="431" t="n"/>
      <c r="C23" s="421" t="n"/>
      <c r="D23" s="383" t="n"/>
      <c r="E23" s="383" t="n"/>
      <c r="F23" s="384">
        <f>SUM(C23:E23)</f>
        <v/>
      </c>
      <c r="G23" s="432" t="n"/>
      <c r="H23" s="383" t="n"/>
      <c r="I23" s="383" t="n"/>
      <c r="J23" s="386">
        <f>SUM(G23:I23)</f>
        <v/>
      </c>
      <c r="K23" s="421" t="n"/>
      <c r="L23" s="383" t="n"/>
      <c r="M23" s="383" t="n"/>
      <c r="N23" s="384">
        <f>SUM(K23:M23)</f>
        <v/>
      </c>
      <c r="O23" s="432" t="n"/>
      <c r="P23" s="383" t="n"/>
      <c r="Q23" s="383" t="n"/>
      <c r="R23" s="387">
        <f>SUM(O23:Q23)</f>
        <v/>
      </c>
      <c r="S23" s="388">
        <f>F23+J23+N23+R23</f>
        <v/>
      </c>
      <c r="T23" s="383" t="n"/>
      <c r="U23" s="389">
        <f>S23-T23</f>
        <v/>
      </c>
      <c r="V23" s="44">
        <f>U23/S23</f>
        <v/>
      </c>
      <c r="W23" s="390" t="n"/>
    </row>
    <row r="24" ht="15" customHeight="1" s="335" thickBot="1">
      <c r="A24" s="433" t="inlineStr">
        <is>
          <t>六、未分配利潤</t>
        </is>
      </c>
      <c r="B24" s="434" t="n"/>
      <c r="C24" s="435" t="n"/>
      <c r="D24" s="436" t="n"/>
      <c r="E24" s="436" t="n"/>
      <c r="F24" s="437">
        <f>SUM(C24:E24)</f>
        <v/>
      </c>
      <c r="G24" s="438" t="n"/>
      <c r="H24" s="436" t="n"/>
      <c r="I24" s="436" t="n"/>
      <c r="J24" s="439">
        <f>SUM(G24:I24)</f>
        <v/>
      </c>
      <c r="K24" s="435" t="n"/>
      <c r="L24" s="436" t="n"/>
      <c r="M24" s="436" t="n"/>
      <c r="N24" s="437">
        <f>SUM(K24:M24)</f>
        <v/>
      </c>
      <c r="O24" s="438" t="n"/>
      <c r="P24" s="436" t="n"/>
      <c r="Q24" s="436" t="n"/>
      <c r="R24" s="440">
        <f>SUM(O24:Q24)</f>
        <v/>
      </c>
      <c r="S24" s="441">
        <f>F24+J24+N24+R24</f>
        <v/>
      </c>
      <c r="T24" s="436" t="n"/>
      <c r="U24" s="442">
        <f>S24-T24</f>
        <v/>
      </c>
      <c r="V24" s="100">
        <f>U24/S24</f>
        <v/>
      </c>
      <c r="W24" s="443" t="n"/>
    </row>
  </sheetData>
  <mergeCells count="13">
    <mergeCell ref="A1:W1"/>
    <mergeCell ref="A2:B2"/>
    <mergeCell ref="C3:F3"/>
    <mergeCell ref="G3:J3"/>
    <mergeCell ref="K3:N3"/>
    <mergeCell ref="A3:A4"/>
    <mergeCell ref="B3:B4"/>
    <mergeCell ref="V3:V4"/>
    <mergeCell ref="O3:R3"/>
    <mergeCell ref="U3:U4"/>
    <mergeCell ref="S3:S4"/>
    <mergeCell ref="T3:T4"/>
    <mergeCell ref="W3:W4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>
  <sheetPr>
    <outlinePr summaryBelow="1" summaryRight="1"/>
    <pageSetUpPr/>
  </sheetPr>
  <dimension ref="A1:S25"/>
  <sheetViews>
    <sheetView workbookViewId="0">
      <selection activeCell="A19" sqref="A19"/>
    </sheetView>
  </sheetViews>
  <sheetFormatPr baseColWidth="8" defaultRowHeight="14"/>
  <cols>
    <col width="54.1796875" customWidth="1" style="335" min="1" max="1"/>
  </cols>
  <sheetData>
    <row r="1" ht="24.5" customHeight="1" s="335" thickBot="1">
      <c r="A1" s="4" t="inlineStr">
        <is>
          <t>利     潤     表</t>
        </is>
      </c>
    </row>
    <row r="2" ht="14.5" customHeight="1" s="335">
      <c r="A2" s="444" t="inlineStr">
        <is>
          <t>項         目</t>
        </is>
      </c>
      <c r="B2" s="445" t="inlineStr">
        <is>
          <t>行次</t>
        </is>
      </c>
      <c r="C2" s="122" t="inlineStr">
        <is>
          <t>2018年</t>
        </is>
      </c>
      <c r="D2" s="342" t="n"/>
      <c r="E2" s="342" t="n"/>
      <c r="F2" s="342" t="n"/>
      <c r="G2" s="342" t="n"/>
      <c r="H2" s="342" t="n"/>
      <c r="I2" s="342" t="n"/>
      <c r="J2" s="342" t="n"/>
      <c r="K2" s="342" t="n"/>
      <c r="L2" s="342" t="n"/>
      <c r="M2" s="342" t="n"/>
      <c r="N2" s="342" t="n"/>
      <c r="O2" s="342" t="n"/>
      <c r="P2" s="342" t="n"/>
      <c r="Q2" s="342" t="n"/>
      <c r="R2" s="342" t="n"/>
      <c r="S2" s="446" t="inlineStr">
        <is>
          <t>2018年度</t>
        </is>
      </c>
    </row>
    <row r="3" ht="14.5" customHeight="1" s="335">
      <c r="A3" s="447" t="n"/>
      <c r="B3" s="448" t="n"/>
      <c r="C3" s="125" t="inlineStr">
        <is>
          <t>1季度</t>
        </is>
      </c>
      <c r="D3" s="126" t="inlineStr">
        <is>
          <t>一月</t>
        </is>
      </c>
      <c r="E3" s="126" t="inlineStr">
        <is>
          <t>二月</t>
        </is>
      </c>
      <c r="F3" s="127" t="inlineStr">
        <is>
          <t>三月</t>
        </is>
      </c>
      <c r="G3" s="128" t="inlineStr">
        <is>
          <t>2季度</t>
        </is>
      </c>
      <c r="H3" s="126" t="inlineStr">
        <is>
          <t>四月</t>
        </is>
      </c>
      <c r="I3" s="126" t="inlineStr">
        <is>
          <t>五月</t>
        </is>
      </c>
      <c r="J3" s="129" t="inlineStr">
        <is>
          <t>六月</t>
        </is>
      </c>
      <c r="K3" s="125" t="inlineStr">
        <is>
          <t>3季度</t>
        </is>
      </c>
      <c r="L3" s="126" t="inlineStr">
        <is>
          <t>七月</t>
        </is>
      </c>
      <c r="M3" s="126" t="inlineStr">
        <is>
          <t>八月</t>
        </is>
      </c>
      <c r="N3" s="127" t="inlineStr">
        <is>
          <t>九月</t>
        </is>
      </c>
      <c r="O3" s="128" t="inlineStr">
        <is>
          <t>4季度</t>
        </is>
      </c>
      <c r="P3" s="126" t="inlineStr">
        <is>
          <t>十月</t>
        </is>
      </c>
      <c r="Q3" s="126" t="inlineStr">
        <is>
          <t>十一月</t>
        </is>
      </c>
      <c r="R3" s="127" t="inlineStr">
        <is>
          <t>十二月</t>
        </is>
      </c>
      <c r="S3" s="449" t="n"/>
    </row>
    <row r="4" ht="29" customHeight="1" s="335">
      <c r="A4" s="130" t="inlineStr">
        <is>
          <t>一、營業收入</t>
        </is>
      </c>
      <c r="B4" s="131" t="n"/>
      <c r="C4" s="450" t="n"/>
      <c r="D4" s="451" t="n"/>
      <c r="E4" s="451" t="n"/>
      <c r="F4" s="452" t="n"/>
      <c r="G4" s="453" t="n"/>
      <c r="H4" s="451" t="n"/>
      <c r="I4" s="451" t="n"/>
      <c r="J4" s="454" t="n"/>
      <c r="K4" s="450" t="n"/>
      <c r="L4" s="451" t="n"/>
      <c r="M4" s="451" t="n"/>
      <c r="N4" s="452" t="n"/>
      <c r="O4" s="453" t="n"/>
      <c r="P4" s="451" t="n"/>
      <c r="Q4" s="451" t="n"/>
      <c r="R4" s="454" t="n"/>
      <c r="S4" s="455" t="n"/>
    </row>
    <row r="5" ht="14.5" customHeight="1" s="335">
      <c r="A5" s="138" t="inlineStr">
        <is>
          <t>減：營業成本</t>
        </is>
      </c>
      <c r="B5" s="139" t="n"/>
      <c r="C5" s="456">
        <f>SUM(D5:F5)</f>
        <v/>
      </c>
      <c r="D5" s="457" t="n"/>
      <c r="E5" s="457" t="n"/>
      <c r="F5" s="458" t="n"/>
      <c r="G5" s="459">
        <f>SUM(H5:J5)</f>
        <v/>
      </c>
      <c r="H5" s="457" t="n"/>
      <c r="I5" s="457" t="n"/>
      <c r="J5" s="460" t="n"/>
      <c r="K5" s="456">
        <f>SUM(L5:N5)</f>
        <v/>
      </c>
      <c r="L5" s="457" t="n"/>
      <c r="M5" s="457" t="n"/>
      <c r="N5" s="458" t="n"/>
      <c r="O5" s="459">
        <f>SUM(P5:R5)</f>
        <v/>
      </c>
      <c r="P5" s="457" t="n"/>
      <c r="Q5" s="457" t="n"/>
      <c r="R5" s="460" t="n"/>
      <c r="S5" s="461">
        <f>C5+K5+O5</f>
        <v/>
      </c>
    </row>
    <row r="6" ht="14.5" customHeight="1" s="335">
      <c r="A6" s="130" t="inlineStr">
        <is>
          <t>二、毛利</t>
        </is>
      </c>
      <c r="B6" s="131" t="n"/>
      <c r="C6" s="450" t="n"/>
      <c r="D6" s="451" t="n"/>
      <c r="E6" s="451" t="n"/>
      <c r="F6" s="452" t="n"/>
      <c r="G6" s="453" t="n"/>
      <c r="H6" s="451" t="n"/>
      <c r="I6" s="451" t="n"/>
      <c r="J6" s="454" t="n"/>
      <c r="K6" s="450">
        <f>SUM(L6:N6)</f>
        <v/>
      </c>
      <c r="L6" s="451" t="n"/>
      <c r="M6" s="451" t="n"/>
      <c r="N6" s="452" t="n"/>
      <c r="O6" s="453">
        <f>SUM(P6:R6)</f>
        <v/>
      </c>
      <c r="P6" s="451" t="n"/>
      <c r="Q6" s="451" t="n"/>
      <c r="R6" s="454" t="n"/>
      <c r="S6" s="455">
        <f>C6+K6+O6</f>
        <v/>
      </c>
    </row>
    <row r="7" ht="14.5" customHeight="1" s="335">
      <c r="A7" s="146" t="inlineStr">
        <is>
          <t>營業稅費</t>
        </is>
      </c>
      <c r="B7" s="147" t="n"/>
      <c r="C7" s="462">
        <f>SUM(D7:F7)</f>
        <v/>
      </c>
      <c r="D7" s="463" t="n"/>
      <c r="E7" s="463" t="n"/>
      <c r="F7" s="464" t="n"/>
      <c r="G7" s="465">
        <f>SUM(H7:J7)</f>
        <v/>
      </c>
      <c r="H7" s="463" t="n"/>
      <c r="I7" s="463" t="n"/>
      <c r="J7" s="466" t="n"/>
      <c r="K7" s="462">
        <f>SUM(L7:N7)</f>
        <v/>
      </c>
      <c r="L7" s="463" t="n"/>
      <c r="M7" s="463" t="n"/>
      <c r="N7" s="464" t="n"/>
      <c r="O7" s="465">
        <f>SUM(P7:R7)</f>
        <v/>
      </c>
      <c r="P7" s="463" t="n"/>
      <c r="Q7" s="463" t="n"/>
      <c r="R7" s="466" t="n"/>
      <c r="S7" s="467">
        <f>C7+K7+O7</f>
        <v/>
      </c>
    </row>
    <row r="8" ht="14.5" customHeight="1" s="335">
      <c r="A8" s="146" t="inlineStr">
        <is>
          <t>其他業務利潤</t>
        </is>
      </c>
      <c r="B8" s="147" t="n"/>
      <c r="C8" s="462">
        <f>SUM(D8:F8)</f>
        <v/>
      </c>
      <c r="D8" s="463" t="n"/>
      <c r="E8" s="463" t="n"/>
      <c r="F8" s="464" t="n"/>
      <c r="G8" s="465">
        <f>SUM(H8:J8)</f>
        <v/>
      </c>
      <c r="H8" s="463" t="n"/>
      <c r="I8" s="463" t="n"/>
      <c r="J8" s="466" t="n"/>
      <c r="K8" s="462">
        <f>SUM(L8:N8)</f>
        <v/>
      </c>
      <c r="L8" s="463" t="n"/>
      <c r="M8" s="463" t="n"/>
      <c r="N8" s="464" t="n"/>
      <c r="O8" s="465">
        <f>SUM(P8:R8)</f>
        <v/>
      </c>
      <c r="P8" s="463" t="n"/>
      <c r="Q8" s="463" t="n"/>
      <c r="R8" s="466" t="n"/>
      <c r="S8" s="467">
        <f>C8+K8+O8</f>
        <v/>
      </c>
    </row>
    <row r="9" ht="14.5" customHeight="1" s="335">
      <c r="A9" s="146" t="inlineStr">
        <is>
          <t>銷售費用</t>
        </is>
      </c>
      <c r="B9" s="147" t="n"/>
      <c r="C9" s="462">
        <f>SUM(D9:F9)</f>
        <v/>
      </c>
      <c r="D9" s="463" t="n"/>
      <c r="E9" s="463" t="n"/>
      <c r="F9" s="464" t="n"/>
      <c r="G9" s="465">
        <f>SUM(H9:J9)</f>
        <v/>
      </c>
      <c r="H9" s="463" t="n"/>
      <c r="I9" s="463" t="n"/>
      <c r="J9" s="466" t="n"/>
      <c r="K9" s="462">
        <f>SUM(L9:N9)</f>
        <v/>
      </c>
      <c r="L9" s="463" t="n"/>
      <c r="M9" s="463" t="n"/>
      <c r="N9" s="464" t="n"/>
      <c r="O9" s="465">
        <f>SUM(P9:R9)</f>
        <v/>
      </c>
      <c r="P9" s="463" t="n"/>
      <c r="Q9" s="463" t="n"/>
      <c r="R9" s="466" t="n"/>
      <c r="S9" s="467">
        <f>C9+K9+O9</f>
        <v/>
      </c>
    </row>
    <row r="10" ht="14.5" customHeight="1" s="335">
      <c r="A10" s="146" t="inlineStr">
        <is>
          <t>管理費用</t>
        </is>
      </c>
      <c r="B10" s="147" t="n"/>
      <c r="C10" s="462">
        <f>SUM(D10:F10)</f>
        <v/>
      </c>
      <c r="D10" s="463" t="n"/>
      <c r="E10" s="463" t="n"/>
      <c r="F10" s="464" t="n"/>
      <c r="G10" s="465">
        <f>SUM(H10:J10)</f>
        <v/>
      </c>
      <c r="H10" s="463" t="n"/>
      <c r="I10" s="463" t="n"/>
      <c r="J10" s="466" t="n"/>
      <c r="K10" s="462">
        <f>SUM(L10:N10)</f>
        <v/>
      </c>
      <c r="L10" s="463" t="n"/>
      <c r="M10" s="463" t="n"/>
      <c r="N10" s="464" t="n"/>
      <c r="O10" s="465">
        <f>SUM(P10:R10)</f>
        <v/>
      </c>
      <c r="P10" s="463" t="n"/>
      <c r="Q10" s="463" t="n"/>
      <c r="R10" s="466" t="n"/>
      <c r="S10" s="467">
        <f>C10+K10+O10</f>
        <v/>
      </c>
    </row>
    <row r="11" ht="14.5" customHeight="1" s="335">
      <c r="A11" s="146" t="inlineStr">
        <is>
          <t>財務費用（收益以“－”號填列）</t>
        </is>
      </c>
      <c r="B11" s="147" t="n"/>
      <c r="C11" s="462">
        <f>SUM(D11:F11)</f>
        <v/>
      </c>
      <c r="D11" s="463" t="n"/>
      <c r="E11" s="463" t="n"/>
      <c r="F11" s="464" t="n"/>
      <c r="G11" s="465">
        <f>SUM(H11:J11)</f>
        <v/>
      </c>
      <c r="H11" s="463" t="n"/>
      <c r="I11" s="463" t="n"/>
      <c r="J11" s="466" t="n"/>
      <c r="K11" s="462">
        <f>SUM(L11:N11)</f>
        <v/>
      </c>
      <c r="L11" s="463" t="n"/>
      <c r="M11" s="463" t="n"/>
      <c r="N11" s="464" t="n"/>
      <c r="O11" s="465">
        <f>SUM(P11:R11)</f>
        <v/>
      </c>
      <c r="P11" s="463" t="n"/>
      <c r="Q11" s="463" t="n"/>
      <c r="R11" s="466" t="n"/>
      <c r="S11" s="467">
        <f>C11+K11+O11</f>
        <v/>
      </c>
    </row>
    <row r="12" ht="14.5" customHeight="1" s="335">
      <c r="A12" s="146" t="inlineStr">
        <is>
          <t>資產減值損失</t>
        </is>
      </c>
      <c r="B12" s="147" t="n"/>
      <c r="C12" s="462">
        <f>SUM(D12:F12)</f>
        <v/>
      </c>
      <c r="D12" s="463" t="n"/>
      <c r="E12" s="463" t="n"/>
      <c r="F12" s="464" t="n"/>
      <c r="G12" s="465">
        <f>SUM(H12:J12)</f>
        <v/>
      </c>
      <c r="H12" s="463" t="n"/>
      <c r="I12" s="463" t="n"/>
      <c r="J12" s="466" t="n"/>
      <c r="K12" s="462">
        <f>SUM(L12:N12)</f>
        <v/>
      </c>
      <c r="L12" s="463" t="n"/>
      <c r="M12" s="463" t="n"/>
      <c r="N12" s="464" t="n"/>
      <c r="O12" s="465">
        <f>SUM(P12:R12)</f>
        <v/>
      </c>
      <c r="P12" s="463" t="n"/>
      <c r="Q12" s="463" t="n"/>
      <c r="R12" s="466" t="n"/>
      <c r="S12" s="467">
        <f>C12+K12+O12</f>
        <v/>
      </c>
    </row>
    <row r="13" ht="14.5" customHeight="1" s="335">
      <c r="A13" s="146" t="inlineStr">
        <is>
          <t>加：公允價值變動淨收益（淨損失以“－”號填列）</t>
        </is>
      </c>
      <c r="B13" s="147" t="n"/>
      <c r="C13" s="462">
        <f>SUM(D13:F13)</f>
        <v/>
      </c>
      <c r="D13" s="463" t="n"/>
      <c r="E13" s="463" t="n"/>
      <c r="F13" s="464" t="n"/>
      <c r="G13" s="465">
        <f>SUM(H13:J13)</f>
        <v/>
      </c>
      <c r="H13" s="463" t="n"/>
      <c r="I13" s="463" t="n"/>
      <c r="J13" s="466" t="n"/>
      <c r="K13" s="462">
        <f>SUM(L13:N13)</f>
        <v/>
      </c>
      <c r="L13" s="463" t="n"/>
      <c r="M13" s="463" t="n"/>
      <c r="N13" s="464" t="n"/>
      <c r="O13" s="465">
        <f>SUM(P13:R13)</f>
        <v/>
      </c>
      <c r="P13" s="463" t="n"/>
      <c r="Q13" s="463" t="n"/>
      <c r="R13" s="466" t="n"/>
      <c r="S13" s="467">
        <f>C13+K13+O13</f>
        <v/>
      </c>
    </row>
    <row r="14" ht="14.5" customHeight="1" s="335">
      <c r="A14" s="154" t="inlineStr">
        <is>
          <t>投資淨收益（淨損失以“－”號填列）</t>
        </is>
      </c>
      <c r="B14" s="155" t="n"/>
      <c r="C14" s="468">
        <f>SUM(D14:F14)</f>
        <v/>
      </c>
      <c r="D14" s="469" t="n"/>
      <c r="E14" s="469" t="n"/>
      <c r="F14" s="470" t="n"/>
      <c r="G14" s="471">
        <f>SUM(H14:J14)</f>
        <v/>
      </c>
      <c r="H14" s="469" t="n"/>
      <c r="I14" s="469" t="n"/>
      <c r="J14" s="472" t="n"/>
      <c r="K14" s="468">
        <f>SUM(L14:N14)</f>
        <v/>
      </c>
      <c r="L14" s="469" t="n"/>
      <c r="M14" s="469" t="n"/>
      <c r="N14" s="470" t="n"/>
      <c r="O14" s="471">
        <f>SUM(P14:R14)</f>
        <v/>
      </c>
      <c r="P14" s="469" t="n"/>
      <c r="Q14" s="469" t="n"/>
      <c r="R14" s="472" t="n"/>
      <c r="S14" s="461">
        <f>C14+K14+O14</f>
        <v/>
      </c>
    </row>
    <row r="15" ht="14.5" customHeight="1" s="335">
      <c r="A15" s="161" t="inlineStr">
        <is>
          <t>三、營業利潤（虧損以“－”號填列）</t>
        </is>
      </c>
      <c r="B15" s="162" t="n"/>
      <c r="C15" s="473">
        <f>SUM(D15:F15)</f>
        <v/>
      </c>
      <c r="D15" s="474" t="n"/>
      <c r="E15" s="474" t="n"/>
      <c r="F15" s="475" t="n"/>
      <c r="G15" s="476">
        <f>SUM(H15:J15)</f>
        <v/>
      </c>
      <c r="H15" s="474" t="n"/>
      <c r="I15" s="474" t="n"/>
      <c r="J15" s="477" t="n"/>
      <c r="K15" s="473">
        <f>SUM(L15:N15)</f>
        <v/>
      </c>
      <c r="L15" s="474" t="n"/>
      <c r="M15" s="474" t="n"/>
      <c r="N15" s="475" t="n"/>
      <c r="O15" s="476">
        <f>SUM(P15:R15)</f>
        <v/>
      </c>
      <c r="P15" s="474" t="n"/>
      <c r="Q15" s="474" t="n"/>
      <c r="R15" s="477" t="n"/>
      <c r="S15" s="455">
        <f>C15+K15+O15</f>
        <v/>
      </c>
    </row>
    <row r="16" ht="14.5" customHeight="1" s="335">
      <c r="A16" s="146" t="inlineStr">
        <is>
          <t>加：營業外收入</t>
        </is>
      </c>
      <c r="B16" s="147" t="n"/>
      <c r="C16" s="462">
        <f>SUM(D16:F16)</f>
        <v/>
      </c>
      <c r="D16" s="463" t="n"/>
      <c r="E16" s="463" t="n"/>
      <c r="F16" s="464" t="n"/>
      <c r="G16" s="465">
        <f>SUM(H16:J16)</f>
        <v/>
      </c>
      <c r="H16" s="463" t="n"/>
      <c r="I16" s="463" t="n"/>
      <c r="J16" s="466" t="n"/>
      <c r="K16" s="462">
        <f>SUM(L16:N16)</f>
        <v/>
      </c>
      <c r="L16" s="463" t="n"/>
      <c r="M16" s="463" t="n"/>
      <c r="N16" s="464" t="n"/>
      <c r="O16" s="465">
        <f>SUM(P16:R16)</f>
        <v/>
      </c>
      <c r="P16" s="463" t="n"/>
      <c r="Q16" s="463" t="n"/>
      <c r="R16" s="466" t="n"/>
      <c r="S16" s="467">
        <f>C16+K16+O16</f>
        <v/>
      </c>
    </row>
    <row r="17" ht="14.5" customHeight="1" s="335">
      <c r="A17" s="146" t="inlineStr">
        <is>
          <t>減：營業外支出</t>
        </is>
      </c>
      <c r="B17" s="147" t="n"/>
      <c r="C17" s="462">
        <f>SUM(D17:F17)</f>
        <v/>
      </c>
      <c r="D17" s="478" t="n"/>
      <c r="E17" s="463" t="n"/>
      <c r="F17" s="464" t="n"/>
      <c r="G17" s="465">
        <f>SUM(H17:J17)</f>
        <v/>
      </c>
      <c r="H17" s="463" t="n"/>
      <c r="I17" s="463" t="n"/>
      <c r="J17" s="466" t="n"/>
      <c r="K17" s="462">
        <f>SUM(L17:N17)</f>
        <v/>
      </c>
      <c r="L17" s="463" t="n"/>
      <c r="M17" s="463" t="n"/>
      <c r="N17" s="464" t="n"/>
      <c r="O17" s="465">
        <f>SUM(P17:R17)</f>
        <v/>
      </c>
      <c r="P17" s="463" t="n"/>
      <c r="Q17" s="463" t="n"/>
      <c r="R17" s="466" t="n"/>
      <c r="S17" s="467">
        <f>C17+K17+O17</f>
        <v/>
      </c>
    </row>
    <row r="18" ht="14.5" customHeight="1" s="335">
      <c r="A18" s="146" t="inlineStr">
        <is>
          <t>其中：非流動資產處置淨損失（淨收益以“—”號填列）</t>
        </is>
      </c>
      <c r="B18" s="147" t="n"/>
      <c r="C18" s="462">
        <f>SUM(D18:F18)</f>
        <v/>
      </c>
      <c r="D18" s="463" t="n"/>
      <c r="E18" s="463" t="n"/>
      <c r="F18" s="464" t="n"/>
      <c r="G18" s="465">
        <f>SUM(H18:J18)</f>
        <v/>
      </c>
      <c r="H18" s="463" t="n"/>
      <c r="I18" s="463" t="n"/>
      <c r="J18" s="466" t="n"/>
      <c r="K18" s="462">
        <f>SUM(L18:N18)</f>
        <v/>
      </c>
      <c r="L18" s="463" t="n"/>
      <c r="M18" s="463" t="n"/>
      <c r="N18" s="464" t="n"/>
      <c r="O18" s="465">
        <f>SUM(P18:R18)</f>
        <v/>
      </c>
      <c r="P18" s="463" t="n"/>
      <c r="Q18" s="463" t="n"/>
      <c r="R18" s="466" t="n"/>
      <c r="S18" s="467">
        <f>C18+K18+O18</f>
        <v/>
      </c>
    </row>
    <row r="19" ht="14.5" customHeight="1" s="335">
      <c r="A19" s="169" t="inlineStr">
        <is>
          <t>以前年度損益調整</t>
        </is>
      </c>
      <c r="B19" s="139" t="n"/>
      <c r="C19" s="456">
        <f>SUM(D19:F19)</f>
        <v/>
      </c>
      <c r="D19" s="457" t="n"/>
      <c r="E19" s="457" t="n"/>
      <c r="F19" s="458" t="n"/>
      <c r="G19" s="459">
        <f>SUM(H19:J19)</f>
        <v/>
      </c>
      <c r="H19" s="457" t="n"/>
      <c r="I19" s="457" t="n"/>
      <c r="J19" s="460" t="n"/>
      <c r="K19" s="456">
        <f>SUM(L19:N19)</f>
        <v/>
      </c>
      <c r="L19" s="457" t="n"/>
      <c r="M19" s="457" t="n"/>
      <c r="N19" s="458" t="n"/>
      <c r="O19" s="471">
        <f>SUM(P19:R19)</f>
        <v/>
      </c>
      <c r="P19" s="457" t="n"/>
      <c r="Q19" s="457" t="n"/>
      <c r="R19" s="460" t="n"/>
      <c r="S19" s="461">
        <f>C19+K19+O19</f>
        <v/>
      </c>
    </row>
    <row r="20" ht="14.5" customHeight="1" s="335">
      <c r="A20" s="130" t="inlineStr">
        <is>
          <t>四、利潤總額（虧損總額以“－”號填列）</t>
        </is>
      </c>
      <c r="B20" s="131" t="n"/>
      <c r="C20" s="450">
        <f>SUM(D20:F20)</f>
        <v/>
      </c>
      <c r="D20" s="451" t="n"/>
      <c r="E20" s="451" t="n"/>
      <c r="F20" s="452" t="n"/>
      <c r="G20" s="453">
        <f>SUM(H20:J20)</f>
        <v/>
      </c>
      <c r="H20" s="451" t="n"/>
      <c r="I20" s="451" t="n"/>
      <c r="J20" s="454" t="n"/>
      <c r="K20" s="450">
        <f>SUM(L20:N20)</f>
        <v/>
      </c>
      <c r="L20" s="451" t="n"/>
      <c r="M20" s="451" t="n"/>
      <c r="N20" s="452" t="n"/>
      <c r="O20" s="476">
        <f>SUM(P20:R20)</f>
        <v/>
      </c>
      <c r="P20" s="451" t="n"/>
      <c r="Q20" s="451" t="n"/>
      <c r="R20" s="454" t="n"/>
      <c r="S20" s="455">
        <f>C20+K20+O20</f>
        <v/>
      </c>
    </row>
    <row r="21" ht="14.5" customHeight="1" s="335">
      <c r="A21" s="154" t="inlineStr">
        <is>
          <t>減：所得稅</t>
        </is>
      </c>
      <c r="B21" s="155" t="n"/>
      <c r="C21" s="468">
        <f>SUM(D21:F21)</f>
        <v/>
      </c>
      <c r="D21" s="469" t="n"/>
      <c r="E21" s="469" t="n"/>
      <c r="F21" s="470" t="n"/>
      <c r="G21" s="471">
        <f>SUM(H21:J21)</f>
        <v/>
      </c>
      <c r="H21" s="469" t="n"/>
      <c r="I21" s="469" t="n"/>
      <c r="J21" s="472" t="n"/>
      <c r="K21" s="468">
        <f>SUM(L21:N21)</f>
        <v/>
      </c>
      <c r="L21" s="469" t="n"/>
      <c r="M21" s="469" t="n"/>
      <c r="N21" s="470" t="n"/>
      <c r="O21" s="459">
        <f>SUM(P21:R21)</f>
        <v/>
      </c>
      <c r="P21" s="469" t="n"/>
      <c r="Q21" s="469" t="n"/>
      <c r="R21" s="472" t="n"/>
      <c r="S21" s="461">
        <f>C21+K21+O21</f>
        <v/>
      </c>
    </row>
    <row r="22" ht="14.5" customHeight="1" s="335">
      <c r="A22" s="161" t="inlineStr">
        <is>
          <t>五、淨利潤（淨虧損以“－”號填列）</t>
        </is>
      </c>
      <c r="B22" s="162" t="n"/>
      <c r="C22" s="473">
        <f>SUM(D22:F22)</f>
        <v/>
      </c>
      <c r="D22" s="474" t="n"/>
      <c r="E22" s="474" t="n"/>
      <c r="F22" s="475" t="n"/>
      <c r="G22" s="476">
        <f>SUM(H22:J22)</f>
        <v/>
      </c>
      <c r="H22" s="474" t="n"/>
      <c r="I22" s="474" t="n"/>
      <c r="J22" s="477" t="n"/>
      <c r="K22" s="473">
        <f>SUM(L22:N22)</f>
        <v/>
      </c>
      <c r="L22" s="474" t="n"/>
      <c r="M22" s="474" t="n"/>
      <c r="N22" s="475" t="n"/>
      <c r="O22" s="453">
        <f>SUM(P22:R22)</f>
        <v/>
      </c>
      <c r="P22" s="474" t="n"/>
      <c r="Q22" s="474" t="n"/>
      <c r="R22" s="477" t="n"/>
      <c r="S22" s="455">
        <f>C22+K22+O22</f>
        <v/>
      </c>
    </row>
    <row r="23" ht="14.5" customHeight="1" s="335">
      <c r="A23" s="170" t="inlineStr">
        <is>
          <t>六、每股收益：</t>
        </is>
      </c>
      <c r="B23" s="139" t="n"/>
      <c r="C23" s="456">
        <f>SUM(D23:F23)</f>
        <v/>
      </c>
      <c r="D23" s="457" t="n"/>
      <c r="E23" s="457" t="n"/>
      <c r="F23" s="458" t="n"/>
      <c r="G23" s="459">
        <f>SUM(H23:J23)</f>
        <v/>
      </c>
      <c r="H23" s="457" t="n"/>
      <c r="I23" s="457" t="n"/>
      <c r="J23" s="460" t="n"/>
      <c r="K23" s="456">
        <f>SUM(L23:N23)</f>
        <v/>
      </c>
      <c r="L23" s="457" t="n"/>
      <c r="M23" s="457" t="n"/>
      <c r="N23" s="458" t="n"/>
      <c r="O23" s="471">
        <f>SUM(P23:R23)</f>
        <v/>
      </c>
      <c r="P23" s="457" t="n"/>
      <c r="Q23" s="457" t="n"/>
      <c r="R23" s="460" t="n"/>
      <c r="S23" s="479">
        <f>C23+K23+O23</f>
        <v/>
      </c>
    </row>
    <row r="24" ht="14.5" customHeight="1" s="335">
      <c r="A24" s="172" t="inlineStr">
        <is>
          <t>（一）基本每股收益</t>
        </is>
      </c>
      <c r="B24" s="131" t="n"/>
      <c r="C24" s="450">
        <f>SUM(D24:F24)</f>
        <v/>
      </c>
      <c r="D24" s="451" t="n"/>
      <c r="E24" s="451" t="n"/>
      <c r="F24" s="452" t="n"/>
      <c r="G24" s="453">
        <f>SUM(H24:J24)</f>
        <v/>
      </c>
      <c r="H24" s="451" t="n"/>
      <c r="I24" s="451" t="n"/>
      <c r="J24" s="454" t="n"/>
      <c r="K24" s="450">
        <f>SUM(L24:N24)</f>
        <v/>
      </c>
      <c r="L24" s="451" t="n"/>
      <c r="M24" s="451" t="n"/>
      <c r="N24" s="452" t="n"/>
      <c r="O24" s="476">
        <f>SUM(P24:R24)</f>
        <v/>
      </c>
      <c r="P24" s="451" t="n"/>
      <c r="Q24" s="451" t="n"/>
      <c r="R24" s="454" t="n"/>
      <c r="S24" s="480">
        <f>C24+K24+O24</f>
        <v/>
      </c>
    </row>
    <row r="25" ht="15" customHeight="1" s="335" thickBot="1">
      <c r="A25" s="174" t="inlineStr">
        <is>
          <t>（二）稀釋每股收益</t>
        </is>
      </c>
      <c r="B25" s="175" t="n"/>
      <c r="C25" s="481">
        <f>SUM(D25:F25)</f>
        <v/>
      </c>
      <c r="D25" s="482" t="n"/>
      <c r="E25" s="482" t="n"/>
      <c r="F25" s="483" t="n"/>
      <c r="G25" s="484">
        <f>SUM(H25:J25)</f>
        <v/>
      </c>
      <c r="H25" s="482" t="n"/>
      <c r="I25" s="482" t="n"/>
      <c r="J25" s="485" t="n"/>
      <c r="K25" s="481">
        <f>SUM(L25:N25)</f>
        <v/>
      </c>
      <c r="L25" s="482" t="n"/>
      <c r="M25" s="482" t="n"/>
      <c r="N25" s="483" t="n"/>
      <c r="O25" s="484">
        <f>SUM(P25:R25)</f>
        <v/>
      </c>
      <c r="P25" s="482" t="n"/>
      <c r="Q25" s="482" t="n"/>
      <c r="R25" s="485" t="n"/>
      <c r="S25" s="486">
        <f>C25+K25+O25</f>
        <v/>
      </c>
    </row>
  </sheetData>
  <mergeCells count="5">
    <mergeCell ref="C2:R2"/>
    <mergeCell ref="A1:S1"/>
    <mergeCell ref="A2:A3"/>
    <mergeCell ref="B2:B3"/>
    <mergeCell ref="S2:S3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1:D27"/>
  <sheetViews>
    <sheetView workbookViewId="0">
      <selection activeCell="A16" sqref="A16"/>
    </sheetView>
  </sheetViews>
  <sheetFormatPr baseColWidth="8" defaultRowHeight="15"/>
  <cols>
    <col width="50.90625" customWidth="1" style="1" min="1" max="1"/>
    <col width="19" customWidth="1" style="1" min="2" max="2"/>
    <col width="17.81640625" customWidth="1" style="1" min="3" max="3"/>
    <col width="19.54296875" customWidth="1" style="1" min="4" max="4"/>
    <col width="8.7265625" customWidth="1" style="1" min="5" max="16384"/>
  </cols>
  <sheetData>
    <row r="1" ht="24" customFormat="1" customHeight="1" s="182">
      <c r="A1" s="183" t="inlineStr">
        <is>
          <t>利   潤   表</t>
        </is>
      </c>
    </row>
    <row r="2" customFormat="1" s="2" thickBot="1">
      <c r="A2" s="184" t="inlineStr">
        <is>
          <t>編制單位：</t>
        </is>
      </c>
      <c r="B2" s="185" t="inlineStr">
        <is>
          <t>年度：</t>
        </is>
      </c>
      <c r="C2" s="186" t="n"/>
      <c r="D2" s="187" t="inlineStr">
        <is>
          <t>單位:  元</t>
        </is>
      </c>
    </row>
    <row r="3" ht="29" customFormat="1" customHeight="1" s="188">
      <c r="A3" s="189" t="inlineStr">
        <is>
          <t>項           目</t>
        </is>
      </c>
      <c r="B3" s="190" t="inlineStr">
        <is>
          <t>行次</t>
        </is>
      </c>
      <c r="C3" s="191" t="inlineStr">
        <is>
          <t>本年數</t>
        </is>
      </c>
      <c r="D3" s="192" t="inlineStr">
        <is>
          <t>上年數</t>
        </is>
      </c>
    </row>
    <row r="4" ht="17.5" customFormat="1" customHeight="1" s="193">
      <c r="A4" s="194" t="inlineStr">
        <is>
          <t>一、營業收入</t>
        </is>
      </c>
      <c r="B4" s="195" t="n"/>
      <c r="C4" s="487" t="n"/>
      <c r="D4" s="488" t="n"/>
    </row>
    <row r="5" ht="17.5" customFormat="1" customHeight="1" s="193">
      <c r="A5" s="198" t="inlineStr">
        <is>
          <t>減：營業成本</t>
        </is>
      </c>
      <c r="B5" s="199" t="n"/>
      <c r="C5" s="489" t="n"/>
      <c r="D5" s="490" t="n"/>
    </row>
    <row r="6" ht="17.5" customFormat="1" customHeight="1" s="193">
      <c r="A6" s="202" t="inlineStr">
        <is>
          <t>二、毛利</t>
        </is>
      </c>
      <c r="B6" s="203" t="n"/>
      <c r="C6" s="491" t="n"/>
      <c r="D6" s="492" t="n"/>
    </row>
    <row r="7" ht="17.5" customFormat="1" customHeight="1" s="193">
      <c r="A7" s="206" t="inlineStr">
        <is>
          <t>減：營業稅費</t>
        </is>
      </c>
      <c r="B7" s="207" t="n"/>
      <c r="C7" s="493" t="n"/>
      <c r="D7" s="494" t="n"/>
    </row>
    <row r="8" ht="17.5" customFormat="1" customHeight="1" s="193">
      <c r="A8" s="206" t="inlineStr">
        <is>
          <t>加：其他業務利潤</t>
        </is>
      </c>
      <c r="B8" s="207" t="n"/>
      <c r="C8" s="493" t="n"/>
      <c r="D8" s="494" t="n"/>
    </row>
    <row r="9" ht="17.5" customFormat="1" customHeight="1" s="193">
      <c r="A9" s="206" t="inlineStr">
        <is>
          <t>減：銷售費用</t>
        </is>
      </c>
      <c r="B9" s="207" t="n"/>
      <c r="C9" s="493" t="n"/>
      <c r="D9" s="494" t="n"/>
    </row>
    <row r="10" ht="17.5" customFormat="1" customHeight="1" s="193">
      <c r="A10" s="206" t="inlineStr">
        <is>
          <t>管理費用</t>
        </is>
      </c>
      <c r="B10" s="207" t="n"/>
      <c r="C10" s="493" t="n"/>
      <c r="D10" s="494" t="n"/>
    </row>
    <row r="11" ht="17.5" customFormat="1" customHeight="1" s="193">
      <c r="A11" s="206" t="inlineStr">
        <is>
          <t>財務費用（收益以“－”號填列）</t>
        </is>
      </c>
      <c r="B11" s="207" t="n"/>
      <c r="C11" s="493" t="n"/>
      <c r="D11" s="494" t="n"/>
    </row>
    <row r="12" ht="17.5" customFormat="1" customHeight="1" s="193">
      <c r="A12" s="206" t="inlineStr">
        <is>
          <t>資產減值損失</t>
        </is>
      </c>
      <c r="B12" s="207" t="n"/>
      <c r="C12" s="493" t="n"/>
      <c r="D12" s="494" t="n"/>
    </row>
    <row r="13" ht="17.5" customFormat="1" customHeight="1" s="193">
      <c r="A13" s="206" t="inlineStr">
        <is>
          <t>加：公允價值變動淨收益（淨損失以“－”號填列）</t>
        </is>
      </c>
      <c r="B13" s="207" t="n"/>
      <c r="C13" s="493" t="n"/>
      <c r="D13" s="494" t="n"/>
    </row>
    <row r="14" ht="17.5" customFormat="1" customHeight="1" s="193">
      <c r="A14" s="210" t="inlineStr">
        <is>
          <t>投資淨收益（淨損失以“－”號填列）</t>
        </is>
      </c>
      <c r="B14" s="211" t="n"/>
      <c r="C14" s="495" t="n"/>
      <c r="D14" s="496" t="n"/>
    </row>
    <row r="15" ht="17.5" customFormat="1" customHeight="1" s="193">
      <c r="A15" s="194" t="inlineStr">
        <is>
          <t>三、營業利潤（虧損以“－”號填列）</t>
        </is>
      </c>
      <c r="B15" s="195" t="n"/>
      <c r="C15" s="487" t="n"/>
      <c r="D15" s="488" t="n"/>
    </row>
    <row r="16" ht="17.5" customFormat="1" customHeight="1" s="193">
      <c r="A16" s="206" t="inlineStr">
        <is>
          <t>加：營業外收入</t>
        </is>
      </c>
      <c r="B16" s="207" t="n"/>
      <c r="C16" s="493" t="n"/>
      <c r="D16" s="494" t="n"/>
    </row>
    <row r="17" ht="17.5" customFormat="1" customHeight="1" s="193">
      <c r="A17" s="206" t="inlineStr">
        <is>
          <t>減：營業外支出</t>
        </is>
      </c>
      <c r="B17" s="207" t="n"/>
      <c r="C17" s="493" t="n"/>
      <c r="D17" s="494" t="n"/>
    </row>
    <row r="18" ht="17.5" customFormat="1" customHeight="1" s="193">
      <c r="A18" s="206" t="inlineStr">
        <is>
          <t>其中：非流動資產處置淨損失（淨收益以“—”號填列）</t>
        </is>
      </c>
      <c r="B18" s="207" t="n"/>
      <c r="C18" s="493" t="n"/>
      <c r="D18" s="494" t="n"/>
    </row>
    <row r="19" ht="17.5" customFormat="1" customHeight="1" s="193">
      <c r="A19" s="198" t="inlineStr">
        <is>
          <t>加：以前年度損益</t>
        </is>
      </c>
      <c r="B19" s="199" t="n"/>
      <c r="C19" s="489" t="n"/>
      <c r="D19" s="490" t="n"/>
    </row>
    <row r="20" ht="17.5" customFormat="1" customHeight="1" s="193">
      <c r="A20" s="202" t="inlineStr">
        <is>
          <t>四、利潤總額（虧損總額以“－”號填列）</t>
        </is>
      </c>
      <c r="B20" s="203" t="n"/>
      <c r="C20" s="491" t="n"/>
      <c r="D20" s="492" t="n"/>
    </row>
    <row r="21" ht="17.5" customFormat="1" customHeight="1" s="193">
      <c r="A21" s="198" t="inlineStr">
        <is>
          <t>減：所得稅</t>
        </is>
      </c>
      <c r="B21" s="199" t="n"/>
      <c r="C21" s="489" t="n"/>
      <c r="D21" s="490" t="n"/>
    </row>
    <row r="22" ht="17.5" customFormat="1" customHeight="1" s="193">
      <c r="A22" s="214" t="inlineStr">
        <is>
          <t>五、淨利潤（淨虧損以“－”號填列）</t>
        </is>
      </c>
      <c r="B22" s="215" t="n"/>
      <c r="C22" s="497" t="n"/>
      <c r="D22" s="498" t="n"/>
    </row>
    <row r="23" ht="17.5" customFormat="1" customHeight="1" s="193">
      <c r="A23" s="202" t="inlineStr">
        <is>
          <t>六、每股收益：</t>
        </is>
      </c>
      <c r="B23" s="203" t="n"/>
      <c r="C23" s="491" t="n"/>
      <c r="D23" s="492" t="n"/>
    </row>
    <row r="24" ht="17.5" customFormat="1" customHeight="1" s="193">
      <c r="A24" s="218" t="inlineStr">
        <is>
          <t>（一）基本每股收益</t>
        </is>
      </c>
      <c r="B24" s="195" t="n"/>
      <c r="C24" s="499" t="n"/>
      <c r="D24" s="488" t="n"/>
    </row>
    <row r="25" ht="18" customFormat="1" customHeight="1" s="193" thickBot="1">
      <c r="A25" s="220" t="inlineStr">
        <is>
          <t>（二）稀釋每股收益</t>
        </is>
      </c>
      <c r="B25" s="221" t="n"/>
      <c r="C25" s="500" t="n"/>
      <c r="D25" s="501" t="n"/>
    </row>
    <row r="27">
      <c r="A27" s="502" t="n"/>
    </row>
  </sheetData>
  <mergeCells count="1">
    <mergeCell ref="A1:D1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>
  <sheetPr>
    <outlinePr summaryBelow="1" summaryRight="1"/>
    <pageSetUpPr/>
  </sheetPr>
  <dimension ref="A1:N28"/>
  <sheetViews>
    <sheetView workbookViewId="0">
      <selection activeCell="E15" sqref="E15:E16"/>
    </sheetView>
  </sheetViews>
  <sheetFormatPr baseColWidth="8" defaultRowHeight="14"/>
  <cols>
    <col width="42.54296875" customWidth="1" style="335" min="1" max="1"/>
  </cols>
  <sheetData>
    <row r="1" ht="24" customHeight="1" s="335">
      <c r="A1" s="183" t="inlineStr">
        <is>
          <t>所有者權益(股東權益)變動表</t>
        </is>
      </c>
    </row>
    <row r="2" ht="15" customHeight="1" s="335" thickBot="1">
      <c r="A2" s="225" t="inlineStr">
        <is>
          <t>編制單位：</t>
        </is>
      </c>
      <c r="B2" s="2" t="n"/>
      <c r="C2" s="2" t="inlineStr">
        <is>
          <t>編制日期：</t>
        </is>
      </c>
      <c r="D2" s="2" t="n"/>
      <c r="E2" s="2" t="n"/>
      <c r="F2" s="225" t="n"/>
      <c r="G2" s="226" t="n"/>
      <c r="H2" s="2" t="n"/>
      <c r="I2" s="2" t="n"/>
      <c r="J2" s="2" t="n"/>
      <c r="K2" s="2" t="n"/>
      <c r="L2" s="2" t="n"/>
      <c r="M2" s="2" t="n"/>
      <c r="N2" s="227" t="inlineStr">
        <is>
          <t>單位:  元</t>
        </is>
      </c>
    </row>
    <row r="3" ht="14.5" customHeight="1" s="335">
      <c r="A3" s="444" t="inlineStr">
        <is>
          <t>項             目</t>
        </is>
      </c>
      <c r="B3" s="503" t="inlineStr">
        <is>
          <t>行 次</t>
        </is>
      </c>
      <c r="C3" s="504" t="inlineStr">
        <is>
          <t>本    年    金    額</t>
        </is>
      </c>
      <c r="D3" s="342" t="n"/>
      <c r="E3" s="342" t="n"/>
      <c r="F3" s="342" t="n"/>
      <c r="G3" s="342" t="n"/>
      <c r="H3" s="345" t="n"/>
      <c r="I3" s="233" t="inlineStr">
        <is>
          <t>上    年    金    額</t>
        </is>
      </c>
      <c r="J3" s="342" t="n"/>
      <c r="K3" s="342" t="n"/>
      <c r="L3" s="342" t="n"/>
      <c r="M3" s="342" t="n"/>
      <c r="N3" s="505" t="n"/>
    </row>
    <row r="4" ht="29" customHeight="1" s="335">
      <c r="A4" s="447" t="n"/>
      <c r="B4" s="506" t="n"/>
      <c r="C4" s="234" t="inlineStr">
        <is>
          <t>實收資本(或股本)</t>
        </is>
      </c>
      <c r="D4" s="235" t="inlineStr">
        <is>
          <t>資本公積</t>
        </is>
      </c>
      <c r="E4" s="235" t="inlineStr">
        <is>
          <t>盈餘公積</t>
        </is>
      </c>
      <c r="F4" s="235" t="inlineStr">
        <is>
          <t>未分配利潤</t>
        </is>
      </c>
      <c r="G4" s="235" t="inlineStr">
        <is>
          <t>庫存股
（減項）</t>
        </is>
      </c>
      <c r="H4" s="236" t="inlineStr">
        <is>
          <t>所有者權益 合計</t>
        </is>
      </c>
      <c r="I4" s="237" t="inlineStr">
        <is>
          <t>實收資本(或股本)</t>
        </is>
      </c>
      <c r="J4" s="235" t="inlineStr">
        <is>
          <t>資本公積</t>
        </is>
      </c>
      <c r="K4" s="235" t="inlineStr">
        <is>
          <t>盈餘公積</t>
        </is>
      </c>
      <c r="L4" s="235" t="inlineStr">
        <is>
          <t>未分配利潤</t>
        </is>
      </c>
      <c r="M4" s="235" t="inlineStr">
        <is>
          <t>庫存股
（減項）</t>
        </is>
      </c>
      <c r="N4" s="238" t="inlineStr">
        <is>
          <t>所有者權益 合計</t>
        </is>
      </c>
    </row>
    <row r="5" ht="29" customHeight="1" s="335">
      <c r="A5" s="130" t="inlineStr">
        <is>
          <t>一、上年年末餘額</t>
        </is>
      </c>
      <c r="B5" s="240" t="n"/>
      <c r="C5" s="507" t="n"/>
      <c r="D5" s="508" t="n"/>
      <c r="E5" s="508" t="n"/>
      <c r="F5" s="508" t="n"/>
      <c r="G5" s="508" t="n"/>
      <c r="H5" s="454">
        <f>SUM(C5:F5)-G5</f>
        <v/>
      </c>
      <c r="I5" s="509" t="n"/>
      <c r="J5" s="508" t="n"/>
      <c r="K5" s="508" t="n"/>
      <c r="L5" s="508" t="n"/>
      <c r="M5" s="508" t="n"/>
      <c r="N5" s="510">
        <f>SUM(I5:L5)-M5</f>
        <v/>
      </c>
    </row>
    <row r="6" ht="14.5" customHeight="1" s="335">
      <c r="A6" s="146" t="inlineStr">
        <is>
          <t>1．會計政策變更</t>
        </is>
      </c>
      <c r="B6" s="245" t="n"/>
      <c r="C6" s="511" t="n"/>
      <c r="D6" s="512" t="n"/>
      <c r="E6" s="512" t="n"/>
      <c r="F6" s="512" t="n"/>
      <c r="G6" s="512" t="n"/>
      <c r="H6" s="454">
        <f>SUM(C6:F6)-G6</f>
        <v/>
      </c>
      <c r="I6" s="513" t="n"/>
      <c r="J6" s="512" t="n"/>
      <c r="K6" s="512" t="n"/>
      <c r="L6" s="512" t="n"/>
      <c r="M6" s="512" t="n"/>
      <c r="N6" s="510">
        <f>SUM(I6:L6)-M6</f>
        <v/>
      </c>
    </row>
    <row r="7" ht="14.5" customHeight="1" s="335">
      <c r="A7" s="154" t="inlineStr">
        <is>
          <t>2．前期差錯更正</t>
        </is>
      </c>
      <c r="B7" s="249" t="n"/>
      <c r="C7" s="514" t="n"/>
      <c r="D7" s="515" t="n"/>
      <c r="E7" s="515" t="n"/>
      <c r="F7" s="515" t="n"/>
      <c r="G7" s="515" t="n"/>
      <c r="H7" s="516">
        <f>SUM(C7:F7)-G7</f>
        <v/>
      </c>
      <c r="I7" s="517" t="n"/>
      <c r="J7" s="515" t="n"/>
      <c r="K7" s="515" t="n"/>
      <c r="L7" s="515" t="n"/>
      <c r="M7" s="515" t="n"/>
      <c r="N7" s="518">
        <f>SUM(I7:L7)-M7</f>
        <v/>
      </c>
    </row>
    <row r="8" ht="14.5" customHeight="1" s="335">
      <c r="A8" s="255" t="inlineStr">
        <is>
          <t>二、本年年初餘額</t>
        </is>
      </c>
      <c r="B8" s="256" t="n"/>
      <c r="C8" s="519" t="n"/>
      <c r="D8" s="520" t="n"/>
      <c r="E8" s="520" t="n"/>
      <c r="F8" s="520" t="n"/>
      <c r="G8" s="520" t="n"/>
      <c r="H8" s="521">
        <f>SUM(C8:F8)-G8</f>
        <v/>
      </c>
      <c r="I8" s="522" t="n"/>
      <c r="J8" s="520" t="n"/>
      <c r="K8" s="520" t="n"/>
      <c r="L8" s="520" t="n"/>
      <c r="M8" s="520" t="n"/>
      <c r="N8" s="523">
        <f>SUM(I8:L8)-M8</f>
        <v/>
      </c>
    </row>
    <row r="9" ht="14.5" customHeight="1" s="335">
      <c r="A9" s="262" t="inlineStr">
        <is>
          <t>三、本年增減變動金額（減少以“-”號填列）</t>
        </is>
      </c>
      <c r="B9" s="263" t="n"/>
      <c r="C9" s="524" t="n"/>
      <c r="D9" s="525" t="n"/>
      <c r="E9" s="525" t="n"/>
      <c r="F9" s="525" t="n"/>
      <c r="G9" s="520" t="n"/>
      <c r="H9" s="521">
        <f>SUM(C9:F9)-G9</f>
        <v/>
      </c>
      <c r="I9" s="522" t="n"/>
      <c r="J9" s="525" t="n"/>
      <c r="K9" s="525" t="n"/>
      <c r="L9" s="525" t="n"/>
      <c r="M9" s="525" t="n"/>
      <c r="N9" s="523">
        <f>SUM(I9:L9)-M9</f>
        <v/>
      </c>
    </row>
    <row r="10" ht="14.5" customHeight="1" s="335">
      <c r="A10" s="266" t="inlineStr">
        <is>
          <t>（一）本年淨利潤</t>
        </is>
      </c>
      <c r="B10" s="240" t="n"/>
      <c r="C10" s="507" t="n"/>
      <c r="D10" s="508" t="n"/>
      <c r="E10" s="508" t="n"/>
      <c r="F10" s="508" t="n"/>
      <c r="G10" s="508" t="n"/>
      <c r="H10" s="454">
        <f>SUM(C10:F10)-G10</f>
        <v/>
      </c>
      <c r="I10" s="509" t="n"/>
      <c r="J10" s="508" t="n"/>
      <c r="K10" s="508" t="n"/>
      <c r="L10" s="508" t="n"/>
      <c r="M10" s="508" t="n"/>
      <c r="N10" s="510">
        <f>SUM(I10:L10)-M10</f>
        <v/>
      </c>
    </row>
    <row r="11" ht="14.5" customHeight="1" s="335">
      <c r="A11" s="267" t="inlineStr">
        <is>
          <t>（二）直接計入所有者權益的利得和損失</t>
        </is>
      </c>
      <c r="B11" s="245" t="n"/>
      <c r="C11" s="511" t="n"/>
      <c r="D11" s="512" t="n"/>
      <c r="E11" s="512" t="n"/>
      <c r="F11" s="512" t="n"/>
      <c r="G11" s="512" t="n"/>
      <c r="H11" s="454">
        <f>SUM(C11:F11)-G11</f>
        <v/>
      </c>
      <c r="I11" s="513" t="n"/>
      <c r="J11" s="512" t="n"/>
      <c r="K11" s="512" t="n"/>
      <c r="L11" s="512" t="n"/>
      <c r="M11" s="512" t="n"/>
      <c r="N11" s="510">
        <f>SUM(I11:L11)-M11</f>
        <v/>
      </c>
    </row>
    <row r="12" ht="14.5" customHeight="1" s="335">
      <c r="A12" s="146" t="inlineStr">
        <is>
          <t>1．可供出售金融資產公允價值變動淨額</t>
        </is>
      </c>
      <c r="B12" s="245" t="n"/>
      <c r="C12" s="511" t="inlineStr">
        <is>
          <t> </t>
        </is>
      </c>
      <c r="D12" s="512" t="n"/>
      <c r="E12" s="512" t="n"/>
      <c r="F12" s="512" t="n"/>
      <c r="G12" s="512" t="n"/>
      <c r="H12" s="454">
        <f>SUM(C12:F12)-G12</f>
        <v/>
      </c>
      <c r="I12" s="513" t="n"/>
      <c r="J12" s="512" t="n"/>
      <c r="K12" s="512" t="n"/>
      <c r="L12" s="512" t="n"/>
      <c r="M12" s="512" t="n"/>
      <c r="N12" s="510">
        <f>SUM(I12:L12)-M12</f>
        <v/>
      </c>
    </row>
    <row r="13" ht="14.5" customHeight="1" s="335">
      <c r="A13" s="146" t="inlineStr">
        <is>
          <t>2．現金流量套期工具公允價值變動淨額</t>
        </is>
      </c>
      <c r="B13" s="245" t="n"/>
      <c r="C13" s="511" t="n"/>
      <c r="D13" s="512" t="n"/>
      <c r="E13" s="512" t="n"/>
      <c r="F13" s="512" t="n"/>
      <c r="G13" s="512" t="n"/>
      <c r="H13" s="454">
        <f>SUM(C13:F13)-G13</f>
        <v/>
      </c>
      <c r="I13" s="513" t="n"/>
      <c r="J13" s="512" t="n"/>
      <c r="K13" s="512" t="n"/>
      <c r="L13" s="512" t="n"/>
      <c r="M13" s="512" t="n"/>
      <c r="N13" s="510">
        <f>SUM(I13:L13)-M13</f>
        <v/>
      </c>
    </row>
    <row r="14" ht="14.5" customHeight="1" s="335">
      <c r="A14" s="146" t="inlineStr">
        <is>
          <t>3．與計入所有者權益專案相關的所得稅影響</t>
        </is>
      </c>
      <c r="B14" s="245" t="n"/>
      <c r="C14" s="511" t="n"/>
      <c r="D14" s="512" t="n"/>
      <c r="E14" s="512" t="n"/>
      <c r="F14" s="512" t="n"/>
      <c r="G14" s="512" t="n"/>
      <c r="H14" s="454">
        <f>SUM(C14:F14)-G14</f>
        <v/>
      </c>
      <c r="I14" s="513" t="n"/>
      <c r="J14" s="512" t="n"/>
      <c r="K14" s="512" t="n"/>
      <c r="L14" s="512" t="n"/>
      <c r="M14" s="512" t="n"/>
      <c r="N14" s="510">
        <f>SUM(I14:L14)-M14</f>
        <v/>
      </c>
    </row>
    <row r="15" ht="14.5" customHeight="1" s="335">
      <c r="A15" s="146" t="inlineStr">
        <is>
          <t>4．其他</t>
        </is>
      </c>
      <c r="B15" s="245" t="n"/>
      <c r="C15" s="511" t="n"/>
      <c r="D15" s="512" t="n"/>
      <c r="E15" s="512" t="n"/>
      <c r="F15" s="512" t="n"/>
      <c r="G15" s="512" t="n"/>
      <c r="H15" s="454">
        <f>SUM(C15:F15)-G15</f>
        <v/>
      </c>
      <c r="I15" s="513" t="n"/>
      <c r="J15" s="512" t="n"/>
      <c r="K15" s="512" t="n"/>
      <c r="L15" s="512" t="n"/>
      <c r="M15" s="512" t="n"/>
      <c r="N15" s="510">
        <f>SUM(I15:L15)-M15</f>
        <v/>
      </c>
    </row>
    <row r="16" ht="14.5" customHeight="1" s="335">
      <c r="A16" s="267" t="inlineStr">
        <is>
          <t>小計</t>
        </is>
      </c>
      <c r="B16" s="245" t="n"/>
      <c r="C16" s="511" t="n"/>
      <c r="D16" s="512" t="n"/>
      <c r="E16" s="512" t="n"/>
      <c r="F16" s="512" t="n"/>
      <c r="G16" s="512" t="n"/>
      <c r="H16" s="454">
        <f>SUM(C16:F16)-G16</f>
        <v/>
      </c>
      <c r="I16" s="513" t="n"/>
      <c r="J16" s="512" t="n"/>
      <c r="K16" s="512" t="n"/>
      <c r="L16" s="512" t="n"/>
      <c r="M16" s="512" t="n"/>
      <c r="N16" s="510">
        <f>SUM(I16:L16)-M16</f>
        <v/>
      </c>
    </row>
    <row r="17" ht="14.5" customHeight="1" s="335">
      <c r="A17" s="267" t="inlineStr">
        <is>
          <t>（三）所有者投入資本</t>
        </is>
      </c>
      <c r="B17" s="245" t="n"/>
      <c r="C17" s="511" t="n"/>
      <c r="D17" s="512" t="n"/>
      <c r="E17" s="512" t="n"/>
      <c r="F17" s="512" t="n"/>
      <c r="G17" s="512" t="n"/>
      <c r="H17" s="454">
        <f>SUM(C17:F17)-G17</f>
        <v/>
      </c>
      <c r="I17" s="513" t="n"/>
      <c r="J17" s="512" t="n"/>
      <c r="K17" s="512" t="n"/>
      <c r="L17" s="512" t="n"/>
      <c r="M17" s="512" t="n"/>
      <c r="N17" s="510">
        <f>SUM(I17:L17)-M17</f>
        <v/>
      </c>
    </row>
    <row r="18" ht="14.5" customHeight="1" s="335">
      <c r="A18" s="146" t="inlineStr">
        <is>
          <t>1.  所有者本期投入資本</t>
        </is>
      </c>
      <c r="B18" s="245" t="n"/>
      <c r="C18" s="511" t="n"/>
      <c r="D18" s="512" t="n"/>
      <c r="E18" s="512" t="n"/>
      <c r="F18" s="512" t="n"/>
      <c r="G18" s="512" t="n"/>
      <c r="H18" s="454">
        <f>SUM(C18:F18)-G18</f>
        <v/>
      </c>
      <c r="I18" s="513" t="n"/>
      <c r="J18" s="512" t="n"/>
      <c r="K18" s="512" t="n"/>
      <c r="L18" s="512" t="n"/>
      <c r="M18" s="512" t="n"/>
      <c r="N18" s="510">
        <f>SUM(I18:L18)-M18</f>
        <v/>
      </c>
    </row>
    <row r="19" ht="14.5" customHeight="1" s="335">
      <c r="A19" s="146" t="inlineStr">
        <is>
          <t>2．本年購回庫存股</t>
        </is>
      </c>
      <c r="B19" s="245" t="n"/>
      <c r="C19" s="511" t="n"/>
      <c r="D19" s="512" t="n"/>
      <c r="E19" s="512" t="n"/>
      <c r="F19" s="512" t="n"/>
      <c r="G19" s="512" t="n"/>
      <c r="H19" s="454">
        <f>SUM(C19:F19)-G19</f>
        <v/>
      </c>
      <c r="I19" s="513" t="n"/>
      <c r="J19" s="512" t="n"/>
      <c r="K19" s="512" t="n"/>
      <c r="L19" s="512" t="n"/>
      <c r="M19" s="512" t="n"/>
      <c r="N19" s="510">
        <f>SUM(I19:L19)-M19</f>
        <v/>
      </c>
    </row>
    <row r="20" ht="14.5" customHeight="1" s="335">
      <c r="A20" s="146" t="inlineStr">
        <is>
          <t>3．股份支付計入所有者權益的金額</t>
        </is>
      </c>
      <c r="B20" s="245" t="n"/>
      <c r="C20" s="511" t="n"/>
      <c r="D20" s="512" t="n"/>
      <c r="E20" s="512" t="n"/>
      <c r="F20" s="512" t="n"/>
      <c r="G20" s="512" t="n"/>
      <c r="H20" s="454">
        <f>SUM(C20:F20)-G20</f>
        <v/>
      </c>
      <c r="I20" s="513" t="n"/>
      <c r="J20" s="512" t="n"/>
      <c r="K20" s="512" t="n"/>
      <c r="L20" s="512" t="n"/>
      <c r="M20" s="512" t="n"/>
      <c r="N20" s="510">
        <f>SUM(I20:L20)-M20</f>
        <v/>
      </c>
    </row>
    <row r="21" ht="14.5" customHeight="1" s="335">
      <c r="A21" s="267" t="inlineStr">
        <is>
          <t>（四）本年利潤分配</t>
        </is>
      </c>
      <c r="B21" s="245" t="n"/>
      <c r="C21" s="511" t="n"/>
      <c r="D21" s="512" t="n"/>
      <c r="E21" s="512" t="n"/>
      <c r="F21" s="512" t="n"/>
      <c r="G21" s="512" t="n"/>
      <c r="H21" s="454">
        <f>SUM(C21:F21)-G21</f>
        <v/>
      </c>
      <c r="I21" s="513" t="n"/>
      <c r="J21" s="512" t="n"/>
      <c r="K21" s="512" t="n"/>
      <c r="L21" s="512" t="n"/>
      <c r="M21" s="512" t="n"/>
      <c r="N21" s="510">
        <f>SUM(I21:L21)-M21</f>
        <v/>
      </c>
    </row>
    <row r="22" ht="14.5" customHeight="1" s="335">
      <c r="A22" s="146" t="inlineStr">
        <is>
          <t>1．對所有者（或股東）的分配</t>
        </is>
      </c>
      <c r="B22" s="245" t="n"/>
      <c r="C22" s="511" t="n"/>
      <c r="D22" s="512" t="n"/>
      <c r="E22" s="512" t="n"/>
      <c r="F22" s="512" t="n"/>
      <c r="G22" s="512" t="n"/>
      <c r="H22" s="454">
        <f>SUM(C22:F22)-G22</f>
        <v/>
      </c>
      <c r="I22" s="513" t="n"/>
      <c r="J22" s="512" t="n"/>
      <c r="K22" s="512" t="n"/>
      <c r="L22" s="512" t="n"/>
      <c r="M22" s="512" t="n"/>
      <c r="N22" s="510">
        <f>SUM(I22:L22)-M22</f>
        <v/>
      </c>
    </row>
    <row r="23" ht="14.5" customHeight="1" s="335">
      <c r="A23" s="146" t="inlineStr">
        <is>
          <t>2．提取盈餘公積</t>
        </is>
      </c>
      <c r="B23" s="245" t="n"/>
      <c r="C23" s="511" t="n"/>
      <c r="D23" s="512" t="n"/>
      <c r="E23" s="512" t="n"/>
      <c r="F23" s="512" t="n"/>
      <c r="G23" s="512" t="n"/>
      <c r="H23" s="454">
        <f>SUM(C23:F23)-G23</f>
        <v/>
      </c>
      <c r="I23" s="513" t="n"/>
      <c r="J23" s="512" t="n"/>
      <c r="K23" s="512" t="n"/>
      <c r="L23" s="512" t="n"/>
      <c r="M23" s="512" t="n"/>
      <c r="N23" s="510">
        <f>SUM(I23:L23)-M23</f>
        <v/>
      </c>
    </row>
    <row r="24" ht="14.5" customHeight="1" s="335">
      <c r="A24" s="267" t="inlineStr">
        <is>
          <t>（五）所有者權益內部結轉</t>
        </is>
      </c>
      <c r="B24" s="245" t="n"/>
      <c r="C24" s="511" t="n"/>
      <c r="D24" s="512" t="n"/>
      <c r="E24" s="512" t="n"/>
      <c r="F24" s="512" t="n"/>
      <c r="G24" s="512" t="n"/>
      <c r="H24" s="454">
        <f>SUM(C24:F24)-G24</f>
        <v/>
      </c>
      <c r="I24" s="513" t="n"/>
      <c r="J24" s="512" t="n"/>
      <c r="K24" s="512" t="n"/>
      <c r="L24" s="512" t="n"/>
      <c r="M24" s="512" t="n"/>
      <c r="N24" s="510">
        <f>SUM(I24:L24)-M24</f>
        <v/>
      </c>
    </row>
    <row r="25" ht="14.5" customHeight="1" s="335">
      <c r="A25" s="146" t="inlineStr">
        <is>
          <t>1．資本公積轉增資本</t>
        </is>
      </c>
      <c r="B25" s="245" t="n"/>
      <c r="C25" s="511" t="n"/>
      <c r="D25" s="512" t="n"/>
      <c r="E25" s="512" t="n"/>
      <c r="F25" s="512" t="n"/>
      <c r="G25" s="512" t="n"/>
      <c r="H25" s="454">
        <f>SUM(C25:F25)-G25</f>
        <v/>
      </c>
      <c r="I25" s="513" t="n"/>
      <c r="J25" s="512" t="n"/>
      <c r="K25" s="512" t="n"/>
      <c r="L25" s="512" t="n"/>
      <c r="M25" s="512" t="n"/>
      <c r="N25" s="510">
        <f>SUM(I25:L25)-M25</f>
        <v/>
      </c>
    </row>
    <row r="26" ht="14.5" customHeight="1" s="335">
      <c r="A26" s="146" t="inlineStr">
        <is>
          <t>2．盈餘公積轉增資本</t>
        </is>
      </c>
      <c r="B26" s="245" t="n"/>
      <c r="C26" s="511" t="n"/>
      <c r="D26" s="512" t="n"/>
      <c r="E26" s="512" t="n"/>
      <c r="F26" s="512" t="n"/>
      <c r="G26" s="512" t="n"/>
      <c r="H26" s="454">
        <f>SUM(C26:F26)-G26</f>
        <v/>
      </c>
      <c r="I26" s="513" t="n"/>
      <c r="J26" s="512" t="n"/>
      <c r="K26" s="512" t="n"/>
      <c r="L26" s="512" t="n"/>
      <c r="M26" s="512" t="n"/>
      <c r="N26" s="510">
        <f>SUM(I26:L26)-M26</f>
        <v/>
      </c>
    </row>
    <row r="27" ht="14.5" customHeight="1" s="335">
      <c r="A27" s="268" t="inlineStr">
        <is>
          <t>3．盈餘公積彌補虧損</t>
        </is>
      </c>
      <c r="B27" s="269" t="n"/>
      <c r="C27" s="526" t="n"/>
      <c r="D27" s="527" t="n"/>
      <c r="E27" s="527" t="n"/>
      <c r="F27" s="527" t="n"/>
      <c r="G27" s="527" t="n"/>
      <c r="H27" s="516">
        <f>SUM(C27:F27)-G27</f>
        <v/>
      </c>
      <c r="I27" s="528" t="n"/>
      <c r="J27" s="527" t="n"/>
      <c r="K27" s="527" t="n"/>
      <c r="L27" s="527" t="n"/>
      <c r="M27" s="527" t="n"/>
      <c r="N27" s="518">
        <f>SUM(I27:L27)-M27</f>
        <v/>
      </c>
    </row>
    <row r="28" ht="29.5" customHeight="1" s="335" thickBot="1">
      <c r="A28" s="273" t="inlineStr">
        <is>
          <t>四、本年年末餘額</t>
        </is>
      </c>
      <c r="B28" s="274" t="n"/>
      <c r="C28" s="529" t="n"/>
      <c r="D28" s="530" t="n"/>
      <c r="E28" s="530" t="n"/>
      <c r="F28" s="530" t="n"/>
      <c r="G28" s="530" t="n"/>
      <c r="H28" s="531">
        <f>SUM(C28:F28)-G28</f>
        <v/>
      </c>
      <c r="I28" s="532" t="n"/>
      <c r="J28" s="530" t="n"/>
      <c r="K28" s="530" t="n"/>
      <c r="L28" s="530" t="n"/>
      <c r="M28" s="530" t="n"/>
      <c r="N28" s="533">
        <f>SUM(I28:L28)-M28</f>
        <v/>
      </c>
    </row>
  </sheetData>
  <mergeCells count="5">
    <mergeCell ref="A3:A4"/>
    <mergeCell ref="B3:B4"/>
    <mergeCell ref="I3:N3"/>
    <mergeCell ref="C3:H3"/>
    <mergeCell ref="A1:N1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>
  <sheetPr>
    <outlinePr summaryBelow="1" summaryRight="1"/>
    <pageSetUpPr/>
  </sheetPr>
  <dimension ref="A1:W17"/>
  <sheetViews>
    <sheetView tabSelected="1" workbookViewId="0">
      <selection activeCell="K19" sqref="K19"/>
    </sheetView>
  </sheetViews>
  <sheetFormatPr baseColWidth="8" defaultRowHeight="15"/>
  <cols>
    <col width="8.7265625" customWidth="1" style="239" min="1" max="1"/>
    <col width="8.7265625" customWidth="1" style="1" min="2" max="16384"/>
  </cols>
  <sheetData>
    <row r="1" ht="24" customHeight="1" s="335">
      <c r="A1" s="534" t="inlineStr">
        <is>
          <t xml:space="preserve">主營業務稅金及附加預算表       </t>
        </is>
      </c>
    </row>
    <row r="2" customFormat="1" s="2" thickBot="1">
      <c r="A2" s="535" t="inlineStr">
        <is>
          <t>編制單位：</t>
        </is>
      </c>
      <c r="B2" s="536" t="n"/>
      <c r="C2" s="537" t="n"/>
      <c r="D2" s="537" t="n"/>
      <c r="E2" s="537" t="n"/>
      <c r="F2" s="537" t="n"/>
      <c r="G2" s="537" t="n"/>
      <c r="I2" s="537" t="n"/>
      <c r="J2" s="537" t="n"/>
      <c r="K2" s="537" t="inlineStr">
        <is>
          <t>編制日期：</t>
        </is>
      </c>
      <c r="L2" s="538" t="n"/>
      <c r="M2" s="538" t="n"/>
      <c r="N2" s="538" t="n"/>
      <c r="O2" s="538" t="n"/>
      <c r="P2" s="538" t="n"/>
      <c r="Q2" s="538" t="n"/>
      <c r="R2" s="538" t="n"/>
      <c r="S2" s="539" t="inlineStr">
        <is>
          <t>單位：萬元</t>
        </is>
      </c>
    </row>
    <row r="3" ht="29" customFormat="1" customHeight="1" s="2">
      <c r="A3" s="540" t="inlineStr">
        <is>
          <t>專案</t>
        </is>
      </c>
      <c r="B3" s="541" t="inlineStr">
        <is>
          <t>計算依據</t>
        </is>
      </c>
      <c r="C3" s="542" t="inlineStr">
        <is>
          <t>1季度</t>
        </is>
      </c>
      <c r="D3" s="543" t="inlineStr">
        <is>
          <t>1月</t>
        </is>
      </c>
      <c r="E3" s="543" t="inlineStr">
        <is>
          <t>2月</t>
        </is>
      </c>
      <c r="F3" s="544" t="inlineStr">
        <is>
          <t>3月</t>
        </is>
      </c>
      <c r="G3" s="545" t="inlineStr">
        <is>
          <t>2季度</t>
        </is>
      </c>
      <c r="H3" s="543" t="inlineStr">
        <is>
          <t>4月</t>
        </is>
      </c>
      <c r="I3" s="543" t="inlineStr">
        <is>
          <t>5月</t>
        </is>
      </c>
      <c r="J3" s="546" t="inlineStr">
        <is>
          <t>6月</t>
        </is>
      </c>
      <c r="K3" s="542" t="inlineStr">
        <is>
          <t>3季度</t>
        </is>
      </c>
      <c r="L3" s="543" t="inlineStr">
        <is>
          <t>7月</t>
        </is>
      </c>
      <c r="M3" s="543" t="inlineStr">
        <is>
          <t>8月</t>
        </is>
      </c>
      <c r="N3" s="544" t="inlineStr">
        <is>
          <t>9月</t>
        </is>
      </c>
      <c r="O3" s="545" t="inlineStr">
        <is>
          <t>4季度</t>
        </is>
      </c>
      <c r="P3" s="543" t="inlineStr">
        <is>
          <t>10月</t>
        </is>
      </c>
      <c r="Q3" s="543" t="inlineStr">
        <is>
          <t>11月</t>
        </is>
      </c>
      <c r="R3" s="546" t="inlineStr">
        <is>
          <t>12月</t>
        </is>
      </c>
      <c r="S3" s="542" t="inlineStr">
        <is>
          <t>本年合計</t>
        </is>
      </c>
      <c r="T3" s="543" t="inlineStr">
        <is>
          <t>上年實際</t>
        </is>
      </c>
      <c r="U3" s="543" t="inlineStr">
        <is>
          <t>增減數</t>
        </is>
      </c>
      <c r="V3" s="547" t="inlineStr">
        <is>
          <t>增減%</t>
        </is>
      </c>
      <c r="W3" s="548" t="inlineStr">
        <is>
          <t>預算責任人</t>
        </is>
      </c>
    </row>
    <row r="4" ht="14.5" customFormat="1" customHeight="1" s="2">
      <c r="A4" s="549" t="inlineStr">
        <is>
          <t>主營收入</t>
        </is>
      </c>
      <c r="B4" s="550" t="n"/>
      <c r="C4" s="371" t="n"/>
      <c r="D4" s="372" t="n"/>
      <c r="E4" s="372" t="n"/>
      <c r="F4" s="367" t="n"/>
      <c r="G4" s="551" t="n"/>
      <c r="H4" s="372" t="n"/>
      <c r="I4" s="372" t="n"/>
      <c r="J4" s="369" t="n"/>
      <c r="K4" s="371" t="n"/>
      <c r="L4" s="372" t="n"/>
      <c r="M4" s="372" t="n"/>
      <c r="N4" s="367" t="n"/>
      <c r="O4" s="551" t="n"/>
      <c r="P4" s="372" t="n"/>
      <c r="Q4" s="372" t="n"/>
      <c r="R4" s="369" t="n"/>
      <c r="S4" s="552" t="n"/>
      <c r="T4" s="372" t="n"/>
      <c r="U4" s="372" t="n"/>
      <c r="V4" s="299" t="n"/>
      <c r="W4" s="553" t="n"/>
    </row>
    <row r="5" ht="14.5" customFormat="1" customHeight="1" s="2">
      <c r="A5" s="554" t="inlineStr">
        <is>
          <t>營業稅</t>
        </is>
      </c>
      <c r="B5" s="555" t="inlineStr">
        <is>
          <t>銷  售 額</t>
        </is>
      </c>
      <c r="C5" s="556">
        <f>SUM(D5:F5)</f>
        <v/>
      </c>
      <c r="D5" s="557" t="n"/>
      <c r="E5" s="557" t="n"/>
      <c r="F5" s="558" t="n"/>
      <c r="G5" s="559">
        <f>SUM(H5:J5)</f>
        <v/>
      </c>
      <c r="H5" s="557" t="n"/>
      <c r="I5" s="557" t="n"/>
      <c r="J5" s="560" t="n"/>
      <c r="K5" s="556">
        <f>SUM(L5:N5)</f>
        <v/>
      </c>
      <c r="L5" s="557" t="n"/>
      <c r="M5" s="557" t="n"/>
      <c r="N5" s="558" t="n"/>
      <c r="O5" s="559">
        <f>SUM(P5:R5)</f>
        <v/>
      </c>
      <c r="P5" s="557" t="n"/>
      <c r="Q5" s="557" t="n"/>
      <c r="R5" s="560" t="n"/>
      <c r="S5" s="556">
        <f>C5+G5+K5+O5</f>
        <v/>
      </c>
      <c r="T5" s="478" t="n"/>
      <c r="U5" s="478">
        <f>S5-T5</f>
        <v/>
      </c>
      <c r="V5" s="308">
        <f>U5/S5</f>
        <v/>
      </c>
      <c r="W5" s="379" t="n"/>
    </row>
    <row r="6" ht="14.5" customFormat="1" customHeight="1" s="2">
      <c r="A6" s="554" t="inlineStr">
        <is>
          <t>城建稅</t>
        </is>
      </c>
      <c r="B6" s="555" t="inlineStr">
        <is>
          <t>營業稅額</t>
        </is>
      </c>
      <c r="C6" s="556">
        <f>SUM(D6:F6)</f>
        <v/>
      </c>
      <c r="D6" s="557" t="n"/>
      <c r="E6" s="557" t="n"/>
      <c r="F6" s="558" t="n"/>
      <c r="G6" s="559">
        <f>SUM(H6:J6)</f>
        <v/>
      </c>
      <c r="H6" s="557" t="n"/>
      <c r="I6" s="557" t="n"/>
      <c r="J6" s="560" t="n"/>
      <c r="K6" s="556">
        <f>SUM(L6:N6)</f>
        <v/>
      </c>
      <c r="L6" s="557" t="n"/>
      <c r="M6" s="557" t="n"/>
      <c r="N6" s="558" t="n"/>
      <c r="O6" s="559">
        <f>SUM(P6:R6)</f>
        <v/>
      </c>
      <c r="P6" s="557" t="n"/>
      <c r="Q6" s="557" t="n"/>
      <c r="R6" s="560" t="n"/>
      <c r="S6" s="556">
        <f>C6+G6+K6+O6</f>
        <v/>
      </c>
      <c r="T6" s="478" t="n"/>
      <c r="U6" s="478">
        <f>S6-T6</f>
        <v/>
      </c>
      <c r="V6" s="308">
        <f>U6/S6</f>
        <v/>
      </c>
      <c r="W6" s="379" t="n"/>
    </row>
    <row r="7" ht="14.5" customFormat="1" customHeight="1" s="2">
      <c r="A7" s="554" t="inlineStr">
        <is>
          <t>教育費附加(中央)</t>
        </is>
      </c>
      <c r="B7" s="555" t="inlineStr">
        <is>
          <t>營業稅額</t>
        </is>
      </c>
      <c r="C7" s="556">
        <f>SUM(D7:F7)</f>
        <v/>
      </c>
      <c r="D7" s="557" t="n"/>
      <c r="E7" s="557" t="n"/>
      <c r="F7" s="558" t="n"/>
      <c r="G7" s="559">
        <f>SUM(H7:J7)</f>
        <v/>
      </c>
      <c r="H7" s="557" t="n"/>
      <c r="I7" s="557" t="n"/>
      <c r="J7" s="560" t="n"/>
      <c r="K7" s="556">
        <f>SUM(L7:N7)</f>
        <v/>
      </c>
      <c r="L7" s="557" t="n"/>
      <c r="M7" s="557" t="n"/>
      <c r="N7" s="558" t="n"/>
      <c r="O7" s="559">
        <f>SUM(P7:R7)</f>
        <v/>
      </c>
      <c r="P7" s="557" t="n"/>
      <c r="Q7" s="557" t="n"/>
      <c r="R7" s="560" t="n"/>
      <c r="S7" s="556">
        <f>C7+G7+K7+O7</f>
        <v/>
      </c>
      <c r="T7" s="478" t="n"/>
      <c r="U7" s="478">
        <f>S7-T7</f>
        <v/>
      </c>
      <c r="V7" s="308">
        <f>U7/S7</f>
        <v/>
      </c>
      <c r="W7" s="379" t="n"/>
    </row>
    <row r="8" ht="14.5" customFormat="1" customHeight="1" s="2">
      <c r="A8" s="554" t="inlineStr">
        <is>
          <t>教育費附加(地方)</t>
        </is>
      </c>
      <c r="B8" s="555" t="inlineStr">
        <is>
          <t>營業稅額</t>
        </is>
      </c>
      <c r="C8" s="556">
        <f>SUM(D8:F8)</f>
        <v/>
      </c>
      <c r="D8" s="557" t="n"/>
      <c r="E8" s="557" t="n"/>
      <c r="F8" s="558" t="n"/>
      <c r="G8" s="559">
        <f>SUM(H8:J8)</f>
        <v/>
      </c>
      <c r="H8" s="557" t="n"/>
      <c r="I8" s="557" t="n"/>
      <c r="J8" s="560" t="n"/>
      <c r="K8" s="556">
        <f>SUM(L8:N8)</f>
        <v/>
      </c>
      <c r="L8" s="557" t="n"/>
      <c r="M8" s="557" t="n"/>
      <c r="N8" s="558" t="n"/>
      <c r="O8" s="559">
        <f>SUM(P8:R8)</f>
        <v/>
      </c>
      <c r="P8" s="557" t="n"/>
      <c r="Q8" s="557" t="n"/>
      <c r="R8" s="560" t="n"/>
      <c r="S8" s="556">
        <f>C8+G8+K8+O8</f>
        <v/>
      </c>
      <c r="T8" s="478" t="n"/>
      <c r="U8" s="478">
        <f>S8-T8</f>
        <v/>
      </c>
      <c r="V8" s="308">
        <f>U8/S8</f>
        <v/>
      </c>
      <c r="W8" s="379" t="n"/>
    </row>
    <row r="9" ht="14.5" customFormat="1" customHeight="1" s="2">
      <c r="A9" s="554" t="inlineStr">
        <is>
          <t>堤圍費</t>
        </is>
      </c>
      <c r="B9" s="555" t="inlineStr">
        <is>
          <t>銷  售 額</t>
        </is>
      </c>
      <c r="C9" s="556">
        <f>SUM(D9:F9)</f>
        <v/>
      </c>
      <c r="D9" s="557" t="n"/>
      <c r="E9" s="557" t="n"/>
      <c r="F9" s="558" t="n"/>
      <c r="G9" s="559">
        <f>SUM(H9:J9)</f>
        <v/>
      </c>
      <c r="H9" s="557" t="n"/>
      <c r="I9" s="557" t="n"/>
      <c r="J9" s="560" t="n"/>
      <c r="K9" s="556">
        <f>SUM(L9:N9)</f>
        <v/>
      </c>
      <c r="L9" s="557" t="n"/>
      <c r="M9" s="557" t="n"/>
      <c r="N9" s="558" t="n"/>
      <c r="O9" s="559">
        <f>SUM(P9:R9)</f>
        <v/>
      </c>
      <c r="P9" s="557" t="n"/>
      <c r="Q9" s="557" t="n"/>
      <c r="R9" s="560" t="n"/>
      <c r="S9" s="556">
        <f>C9+G9+K9+O9</f>
        <v/>
      </c>
      <c r="T9" s="478" t="n"/>
      <c r="U9" s="478">
        <f>S9-T9</f>
        <v/>
      </c>
      <c r="V9" s="308">
        <f>U9/S9</f>
        <v/>
      </c>
      <c r="W9" s="379" t="n"/>
    </row>
    <row r="10" ht="14.5" customFormat="1" customHeight="1" s="2">
      <c r="A10" s="554" t="inlineStr">
        <is>
          <t>預繳土地增值稅</t>
        </is>
      </c>
      <c r="B10" s="555" t="inlineStr">
        <is>
          <t>銷  售 額</t>
        </is>
      </c>
      <c r="C10" s="556">
        <f>SUM(D10:F10)</f>
        <v/>
      </c>
      <c r="D10" s="557" t="n"/>
      <c r="E10" s="557" t="n"/>
      <c r="F10" s="558" t="n"/>
      <c r="G10" s="559">
        <f>SUM(H10:J10)</f>
        <v/>
      </c>
      <c r="H10" s="557" t="n"/>
      <c r="I10" s="557" t="n"/>
      <c r="J10" s="560" t="n"/>
      <c r="K10" s="556">
        <f>SUM(L10:N10)</f>
        <v/>
      </c>
      <c r="L10" s="557" t="n"/>
      <c r="M10" s="557" t="n"/>
      <c r="N10" s="558" t="n"/>
      <c r="O10" s="559">
        <f>SUM(P10:R10)</f>
        <v/>
      </c>
      <c r="P10" s="557" t="n"/>
      <c r="Q10" s="557" t="n"/>
      <c r="R10" s="560" t="n"/>
      <c r="S10" s="556">
        <f>C10+G10+K10+O10</f>
        <v/>
      </c>
      <c r="T10" s="478" t="n"/>
      <c r="U10" s="478">
        <f>S10-T10</f>
        <v/>
      </c>
      <c r="V10" s="308">
        <f>U10/S10</f>
        <v/>
      </c>
      <c r="W10" s="379" t="n"/>
    </row>
    <row r="11" ht="14.5" customFormat="1" customHeight="1" s="2">
      <c r="A11" s="554" t="inlineStr">
        <is>
          <t>清算土地增值稅</t>
        </is>
      </c>
      <c r="B11" s="561" t="n"/>
      <c r="C11" s="556">
        <f>SUM(D11:F11)</f>
        <v/>
      </c>
      <c r="D11" s="557" t="n"/>
      <c r="E11" s="557" t="n"/>
      <c r="F11" s="558" t="n"/>
      <c r="G11" s="559">
        <f>SUM(H11:J11)</f>
        <v/>
      </c>
      <c r="H11" s="557" t="n"/>
      <c r="I11" s="557" t="n"/>
      <c r="J11" s="560" t="n"/>
      <c r="K11" s="556">
        <f>SUM(L11:N11)</f>
        <v/>
      </c>
      <c r="L11" s="557" t="n"/>
      <c r="M11" s="557" t="n"/>
      <c r="N11" s="558" t="n"/>
      <c r="O11" s="559">
        <f>SUM(P11:R11)</f>
        <v/>
      </c>
      <c r="P11" s="557" t="n"/>
      <c r="Q11" s="557" t="n"/>
      <c r="R11" s="560" t="n"/>
      <c r="S11" s="556">
        <f>C11+G11+K11+O11</f>
        <v/>
      </c>
      <c r="T11" s="478" t="n"/>
      <c r="U11" s="478">
        <f>S11-T11</f>
        <v/>
      </c>
      <c r="V11" s="308">
        <f>U11/S11</f>
        <v/>
      </c>
      <c r="W11" s="379" t="n"/>
    </row>
    <row r="12" ht="14.5" customFormat="1" customHeight="1" s="2">
      <c r="A12" s="554" t="inlineStr">
        <is>
          <t>房產稅及土地使用稅</t>
        </is>
      </c>
      <c r="B12" s="561" t="n"/>
      <c r="C12" s="556">
        <f>SUM(D12:F12)</f>
        <v/>
      </c>
      <c r="D12" s="557" t="n"/>
      <c r="E12" s="557" t="n"/>
      <c r="F12" s="558" t="n"/>
      <c r="G12" s="562">
        <f>SUM(H12:J12)</f>
        <v/>
      </c>
      <c r="H12" s="563" t="n"/>
      <c r="I12" s="563" t="n"/>
      <c r="J12" s="560" t="n"/>
      <c r="K12" s="556">
        <f>SUM(L12:N12)</f>
        <v/>
      </c>
      <c r="L12" s="557" t="n"/>
      <c r="M12" s="557" t="n"/>
      <c r="N12" s="558" t="n"/>
      <c r="O12" s="559">
        <f>SUM(P12:R12)</f>
        <v/>
      </c>
      <c r="P12" s="557" t="n"/>
      <c r="Q12" s="557" t="n"/>
      <c r="R12" s="560" t="n"/>
      <c r="S12" s="556">
        <f>C12+G12+K12+O12</f>
        <v/>
      </c>
      <c r="T12" s="478" t="n"/>
      <c r="U12" s="478">
        <f>S12-T12</f>
        <v/>
      </c>
      <c r="V12" s="308">
        <f>U12/S12</f>
        <v/>
      </c>
      <c r="W12" s="379" t="n"/>
    </row>
    <row r="13" ht="14.5" customFormat="1" customHeight="1" s="2">
      <c r="A13" s="554" t="inlineStr">
        <is>
          <t>其他</t>
        </is>
      </c>
      <c r="B13" s="561" t="n"/>
      <c r="C13" s="556">
        <f>SUM(D13:F13)</f>
        <v/>
      </c>
      <c r="D13" s="557" t="n"/>
      <c r="E13" s="557" t="n"/>
      <c r="F13" s="558" t="n"/>
      <c r="G13" s="564">
        <f>SUM(H13:J13)</f>
        <v/>
      </c>
      <c r="H13" s="565" t="n"/>
      <c r="I13" s="566" t="n"/>
      <c r="J13" s="567" t="n"/>
      <c r="K13" s="556">
        <f>SUM(L13:N13)</f>
        <v/>
      </c>
      <c r="L13" s="557" t="n"/>
      <c r="M13" s="557" t="n"/>
      <c r="N13" s="558" t="n"/>
      <c r="O13" s="559">
        <f>SUM(P13:R13)</f>
        <v/>
      </c>
      <c r="P13" s="557" t="n"/>
      <c r="Q13" s="557" t="n"/>
      <c r="R13" s="560" t="n"/>
      <c r="S13" s="556">
        <f>C13+G13+K13+O13</f>
        <v/>
      </c>
      <c r="T13" s="478" t="n"/>
      <c r="U13" s="478">
        <f>S13-T13</f>
        <v/>
      </c>
      <c r="V13" s="308">
        <f>U13/S13</f>
        <v/>
      </c>
      <c r="W13" s="379" t="n"/>
    </row>
    <row r="14" customFormat="1" s="2" thickBot="1">
      <c r="A14" s="568" t="inlineStr">
        <is>
          <t>合  計</t>
        </is>
      </c>
      <c r="B14" s="569" t="n"/>
      <c r="C14" s="570">
        <f>SUM(C5:C13)</f>
        <v/>
      </c>
      <c r="D14" s="570">
        <f>SUM(D5:D13)</f>
        <v/>
      </c>
      <c r="E14" s="570">
        <f>SUM(E5:E13)</f>
        <v/>
      </c>
      <c r="F14" s="571">
        <f>SUM(F5:F13)</f>
        <v/>
      </c>
      <c r="G14" s="572">
        <f>SUM(G4:G13)</f>
        <v/>
      </c>
      <c r="H14" s="573">
        <f>SUM(H4:H13)</f>
        <v/>
      </c>
      <c r="I14" s="574">
        <f>SUM(I4:I13)</f>
        <v/>
      </c>
      <c r="J14" s="571">
        <f>SUM(J4:J13)</f>
        <v/>
      </c>
      <c r="K14" s="575">
        <f>SUM(K4:K13)</f>
        <v/>
      </c>
      <c r="L14" s="570">
        <f>SUM(L4:L13)</f>
        <v/>
      </c>
      <c r="M14" s="570">
        <f>SUM(M4:M13)</f>
        <v/>
      </c>
      <c r="N14" s="570">
        <f>SUM(N4:N13)</f>
        <v/>
      </c>
      <c r="O14" s="576">
        <f>SUM(O4:O13)</f>
        <v/>
      </c>
      <c r="P14" s="571">
        <f>SUM(P4:P13)</f>
        <v/>
      </c>
      <c r="Q14" s="577">
        <f>SUM(Q4:Q13)</f>
        <v/>
      </c>
      <c r="R14" s="570">
        <f>SUM(R4:R13)</f>
        <v/>
      </c>
      <c r="S14" s="575">
        <f>C14+G14+K14+O14</f>
        <v/>
      </c>
      <c r="T14" s="578" t="n"/>
      <c r="U14" s="578">
        <f>S14-T14</f>
        <v/>
      </c>
      <c r="V14" s="327">
        <f>U14/S14</f>
        <v/>
      </c>
      <c r="W14" s="579" t="n"/>
    </row>
    <row r="15" ht="14.5" customFormat="1" customHeight="1" s="2">
      <c r="A15" s="580" t="n"/>
      <c r="B15" s="581" t="n"/>
      <c r="C15" s="582" t="n"/>
      <c r="D15" s="582" t="n"/>
      <c r="E15" s="582" t="n"/>
      <c r="F15" s="582" t="n"/>
      <c r="G15" s="582" t="n"/>
      <c r="H15" s="582" t="n"/>
      <c r="I15" s="582" t="n"/>
      <c r="J15" s="582" t="n"/>
      <c r="K15" s="582" t="n"/>
      <c r="L15" s="582" t="n"/>
      <c r="M15" s="582" t="n"/>
      <c r="N15" s="582" t="n"/>
      <c r="O15" s="580" t="inlineStr">
        <is>
          <t>製表人：</t>
        </is>
      </c>
    </row>
    <row r="16" ht="14.5" customFormat="1" customHeight="1" s="2">
      <c r="A16" s="583" t="inlineStr">
        <is>
          <t>注： 1、不包括印花稅、車船稅等，該項列入期間費用；</t>
        </is>
      </c>
      <c r="B16" s="584" t="n"/>
      <c r="C16" s="537" t="n"/>
      <c r="D16" s="537" t="n"/>
      <c r="E16" s="537" t="n"/>
      <c r="F16" s="537" t="n"/>
      <c r="G16" s="537" t="n"/>
      <c r="H16" s="537" t="n"/>
      <c r="I16" s="537" t="n"/>
      <c r="J16" s="537" t="n"/>
      <c r="K16" s="537" t="n"/>
      <c r="L16" s="537" t="n"/>
      <c r="M16" s="537" t="n"/>
      <c r="N16" s="537" t="n"/>
      <c r="O16" s="537" t="n"/>
      <c r="P16" s="537" t="n"/>
      <c r="Q16" s="537" t="n"/>
      <c r="R16" s="537" t="n"/>
      <c r="S16" s="537" t="n"/>
      <c r="T16" s="537" t="n"/>
      <c r="U16" s="537" t="n"/>
      <c r="V16" s="584" t="n"/>
      <c r="W16" s="584" t="n"/>
    </row>
    <row r="17" ht="14.5" customFormat="1" customHeight="1" s="2">
      <c r="A17" s="583" t="inlineStr">
        <is>
          <t xml:space="preserve">        2、“計算依據”要求列明計算過程。</t>
        </is>
      </c>
      <c r="B17" s="584" t="n"/>
      <c r="C17" s="537" t="n"/>
      <c r="D17" s="537" t="n"/>
      <c r="E17" s="537" t="n"/>
      <c r="F17" s="537" t="n"/>
      <c r="G17" s="537" t="n"/>
      <c r="H17" s="537" t="n"/>
      <c r="I17" s="537" t="n"/>
      <c r="J17" s="537" t="n"/>
      <c r="K17" s="537" t="n"/>
      <c r="L17" s="537" t="n"/>
      <c r="M17" s="537" t="n"/>
      <c r="N17" s="537" t="n"/>
      <c r="O17" s="537" t="n"/>
      <c r="P17" s="537" t="n"/>
      <c r="Q17" s="537" t="n"/>
      <c r="R17" s="537" t="n"/>
      <c r="S17" s="537" t="n"/>
      <c r="T17" s="537" t="n"/>
      <c r="U17" s="537" t="n"/>
      <c r="V17" s="584" t="n"/>
      <c r="W17" s="584" t="n"/>
    </row>
  </sheetData>
  <mergeCells count="3">
    <mergeCell ref="S2:W2"/>
    <mergeCell ref="A1:W1"/>
    <mergeCell ref="O15:W15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/>
  <dcterms:created xsi:type="dcterms:W3CDTF">2019-02-18T08:07:00Z</dcterms:created>
  <dcterms:modified xsi:type="dcterms:W3CDTF">2025-07-21T10:01:05Z</dcterms:modified>
  <cp:lastModifiedBy/>
</cp:coreProperties>
</file>