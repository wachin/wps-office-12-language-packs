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charts/chart1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externalReferences>
    <externalReference r:id="rId2"/>
  </externalReference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0.000_);[Red]\(0.000\)"/>
    <numFmt numFmtId="165" formatCode="d/mmm/yyyy;\-;\-;@"/>
    <numFmt numFmtId="166" formatCode="0.00_);[Red]\(0.00\)"/>
  </numFmts>
  <fonts count="8">
    <font>
      <name val="等线"/>
      <charset val="134"/>
      <family val="2"/>
      <color theme="1"/>
      <sz val="11"/>
      <scheme val="minor"/>
    </font>
    <font>
      <name val="Tahoma"/>
      <family val="2"/>
      <sz val="10"/>
    </font>
    <font>
      <name val="等线"/>
      <charset val="134"/>
      <family val="2"/>
      <sz val="9"/>
      <scheme val="minor"/>
    </font>
    <font>
      <name val="Tahoma"/>
      <family val="2"/>
      <b val="1"/>
      <color indexed="9"/>
      <sz val="18"/>
    </font>
    <font>
      <name val="Tahoma"/>
      <family val="2"/>
      <sz val="14"/>
    </font>
    <font>
      <name val="Tahoma"/>
      <family val="2"/>
      <sz val="8"/>
    </font>
    <font>
      <name val="Arial"/>
      <family val="2"/>
      <sz val="10"/>
    </font>
    <font>
      <name val="Arial"/>
      <family val="2"/>
      <sz val="9"/>
    </font>
  </fonts>
  <fills count="4">
    <fill>
      <patternFill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8">
    <xf numFmtId="0" fontId="0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45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3" fillId="2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4" fillId="3" borderId="0" applyAlignment="1" pivotButton="0" quotePrefix="0" xfId="0">
      <alignment horizontal="right" vertical="center"/>
    </xf>
    <xf numFmtId="0" fontId="1" fillId="0" borderId="0" applyAlignment="1" applyProtection="1" pivotButton="0" quotePrefix="0" xfId="0">
      <alignment vertical="center"/>
      <protection locked="0" hidden="0"/>
    </xf>
    <xf numFmtId="0" fontId="4" fillId="3" borderId="0" applyAlignment="1" pivotButton="0" quotePrefix="0" xfId="0">
      <alignment horizontal="right" vertical="center"/>
    </xf>
    <xf numFmtId="0" fontId="1" fillId="0" borderId="1" applyAlignment="1" applyProtection="1" pivotButton="0" quotePrefix="0" xfId="0">
      <alignment vertical="center"/>
      <protection locked="0" hidden="0"/>
    </xf>
    <xf numFmtId="164" fontId="1" fillId="0" borderId="0" applyAlignment="1" applyProtection="1" pivotButton="0" quotePrefix="0" xfId="0">
      <alignment vertical="center"/>
      <protection locked="0" hidden="0"/>
    </xf>
    <xf numFmtId="0" fontId="1" fillId="0" borderId="2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5" fontId="5" fillId="0" borderId="0" applyAlignment="1" applyProtection="1" pivotButton="0" quotePrefix="0" xfId="0">
      <alignment horizontal="center" vertical="center"/>
      <protection locked="0" hidden="0"/>
    </xf>
    <xf numFmtId="0" fontId="5" fillId="3" borderId="3" applyAlignment="1" pivotButton="0" quotePrefix="0" xfId="1">
      <alignment horizontal="right" wrapText="1"/>
    </xf>
    <xf numFmtId="0" fontId="5" fillId="0" borderId="4" applyProtection="1" pivotButton="0" quotePrefix="0" xfId="2">
      <protection locked="0" hidden="0"/>
    </xf>
    <xf numFmtId="166" fontId="5" fillId="0" borderId="5" applyAlignment="1" applyProtection="1" pivotButton="0" quotePrefix="0" xfId="0">
      <alignment horizontal="center" vertical="center"/>
      <protection locked="0" hidden="0"/>
    </xf>
    <xf numFmtId="166" fontId="5" fillId="0" borderId="4" applyAlignment="1" applyProtection="1" pivotButton="0" quotePrefix="0" xfId="0">
      <alignment horizontal="center" vertical="center"/>
      <protection locked="0" hidden="0"/>
    </xf>
    <xf numFmtId="166" fontId="5" fillId="0" borderId="6" applyAlignment="1" applyProtection="1" pivotButton="0" quotePrefix="0" xfId="0">
      <alignment horizontal="center" vertical="center"/>
      <protection locked="0" hidden="0"/>
    </xf>
    <xf numFmtId="0" fontId="5" fillId="0" borderId="4" applyProtection="1" pivotButton="0" quotePrefix="0" xfId="3">
      <protection locked="0" hidden="0"/>
    </xf>
    <xf numFmtId="166" fontId="5" fillId="0" borderId="7" applyAlignment="1" applyProtection="1" pivotButton="0" quotePrefix="0" xfId="0">
      <alignment horizontal="center" vertical="center"/>
      <protection locked="0" hidden="0"/>
    </xf>
    <xf numFmtId="166" fontId="5" fillId="0" borderId="8" applyAlignment="1" applyProtection="1" pivotButton="0" quotePrefix="0" xfId="0">
      <alignment horizontal="center" vertical="center"/>
      <protection locked="0" hidden="0"/>
    </xf>
    <xf numFmtId="166" fontId="5" fillId="0" borderId="9" applyAlignment="1" applyProtection="1" pivotButton="0" quotePrefix="0" xfId="0">
      <alignment horizontal="center" vertical="center"/>
      <protection locked="0" hidden="0"/>
    </xf>
    <xf numFmtId="0" fontId="5" fillId="0" borderId="4" applyProtection="1" pivotButton="0" quotePrefix="0" xfId="4">
      <protection locked="0" hidden="0"/>
    </xf>
    <xf numFmtId="0" fontId="5" fillId="0" borderId="4" applyProtection="1" pivotButton="0" quotePrefix="0" xfId="5">
      <protection locked="0" hidden="0"/>
    </xf>
    <xf numFmtId="0" fontId="5" fillId="0" borderId="4" applyProtection="1" pivotButton="0" quotePrefix="0" xfId="6">
      <protection locked="0" hidden="0"/>
    </xf>
    <xf numFmtId="0" fontId="5" fillId="0" borderId="4" applyProtection="1" pivotButton="0" quotePrefix="0" xfId="7">
      <protection locked="0" hidden="0"/>
    </xf>
    <xf numFmtId="0" fontId="5" fillId="0" borderId="0" applyAlignment="1" pivotButton="0" quotePrefix="0" xfId="0">
      <alignment vertical="center"/>
    </xf>
    <xf numFmtId="0" fontId="5" fillId="3" borderId="5" applyAlignment="1" pivotButton="0" quotePrefix="0" xfId="0">
      <alignment horizontal="right" vertical="center"/>
    </xf>
    <xf numFmtId="0" fontId="5" fillId="0" borderId="5" applyAlignment="1" pivotButton="0" quotePrefix="0" xfId="0">
      <alignment horizontal="center" vertical="center"/>
    </xf>
    <xf numFmtId="0" fontId="5" fillId="3" borderId="7" applyAlignment="1" pivotButton="0" quotePrefix="0" xfId="0">
      <alignment horizontal="right" vertical="center"/>
    </xf>
    <xf numFmtId="0" fontId="5" fillId="0" borderId="7" applyAlignment="1" pivotButton="0" quotePrefix="0" xfId="0">
      <alignment horizontal="center" vertical="center"/>
    </xf>
    <xf numFmtId="10" fontId="5" fillId="0" borderId="7" applyAlignment="1" pivotButton="0" quotePrefix="0" xfId="0">
      <alignment horizontal="center" vertical="center"/>
    </xf>
    <xf numFmtId="166" fontId="5" fillId="0" borderId="7" applyAlignment="1" pivotButton="0" quotePrefix="0" xfId="0">
      <alignment horizontal="center" vertical="center"/>
    </xf>
    <xf numFmtId="0" fontId="5" fillId="3" borderId="0" applyAlignment="1" pivotButton="0" quotePrefix="0" xfId="0">
      <alignment horizontal="right" vertical="center"/>
    </xf>
    <xf numFmtId="166" fontId="5" fillId="0" borderId="0" applyAlignment="1" pivotButton="0" quotePrefix="0" xfId="0">
      <alignment horizontal="center" vertical="center"/>
    </xf>
    <xf numFmtId="164" fontId="1" fillId="0" borderId="0" applyAlignment="1" applyProtection="1" pivotButton="0" quotePrefix="0" xfId="0">
      <alignment vertical="center"/>
      <protection locked="0" hidden="0"/>
    </xf>
    <xf numFmtId="165" fontId="5" fillId="0" borderId="0" applyAlignment="1" applyProtection="1" pivotButton="0" quotePrefix="0" xfId="0">
      <alignment horizontal="center" vertical="center"/>
      <protection locked="0" hidden="0"/>
    </xf>
    <xf numFmtId="166" fontId="5" fillId="0" borderId="5" applyAlignment="1" applyProtection="1" pivotButton="0" quotePrefix="0" xfId="0">
      <alignment horizontal="center" vertical="center"/>
      <protection locked="0" hidden="0"/>
    </xf>
    <xf numFmtId="166" fontId="5" fillId="0" borderId="4" applyAlignment="1" applyProtection="1" pivotButton="0" quotePrefix="0" xfId="0">
      <alignment horizontal="center" vertical="center"/>
      <protection locked="0" hidden="0"/>
    </xf>
    <xf numFmtId="166" fontId="5" fillId="0" borderId="6" applyAlignment="1" applyProtection="1" pivotButton="0" quotePrefix="0" xfId="0">
      <alignment horizontal="center" vertical="center"/>
      <protection locked="0" hidden="0"/>
    </xf>
    <xf numFmtId="166" fontId="5" fillId="0" borderId="7" applyAlignment="1" applyProtection="1" pivotButton="0" quotePrefix="0" xfId="0">
      <alignment horizontal="center" vertical="center"/>
      <protection locked="0" hidden="0"/>
    </xf>
    <xf numFmtId="166" fontId="5" fillId="0" borderId="8" applyAlignment="1" applyProtection="1" pivotButton="0" quotePrefix="0" xfId="0">
      <alignment horizontal="center" vertical="center"/>
      <protection locked="0" hidden="0"/>
    </xf>
    <xf numFmtId="166" fontId="5" fillId="0" borderId="9" applyAlignment="1" applyProtection="1" pivotButton="0" quotePrefix="0" xfId="0">
      <alignment horizontal="center" vertical="center"/>
      <protection locked="0" hidden="0"/>
    </xf>
    <xf numFmtId="166" fontId="5" fillId="0" borderId="7" applyAlignment="1" pivotButton="0" quotePrefix="0" xfId="0">
      <alignment horizontal="center" vertical="center"/>
    </xf>
    <xf numFmtId="166" fontId="5" fillId="0" borderId="0" applyAlignment="1" pivotButton="0" quotePrefix="0" xfId="0">
      <alignment horizontal="center" vertical="center"/>
    </xf>
  </cellXfs>
  <cellStyles count="8">
    <cellStyle name="常规" xfId="0" builtinId="0"/>
    <cellStyle name="Normal_Sheet1" xfId="1"/>
    <cellStyle name="Normal_Sheet1_1" xfId="2"/>
    <cellStyle name="Normal_Sheet1_2" xfId="3"/>
    <cellStyle name="Normal_Sheet1_3" xfId="4"/>
    <cellStyle name="Normal_Sheet1_4" xfId="5"/>
    <cellStyle name="Normal_Sheet1_5" xfId="6"/>
    <cellStyle name="Normal_Sheet1_6" xfId="7"/>
  </cellStyles>
  <dxfs count="2">
    <dxf>
      <font>
        <b val="1"/>
        <color indexed="53"/>
      </font>
    </dxf>
    <dxf>
      <font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0" vertOverflow="ellipsis" vert="horz" wrap="square" anchor="ctr" anchorCtr="1"/>
          <a:lstStyle/>
          <a:p>
            <a:pPr defTabSz="914400">
              <a:defRPr lang="zh-CN" sz="1325" b="1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rPr lang="en-US"/>
              <a:t>Fitness Chart</a:t>
            </a:r>
            <a:endParaRPr lang="en-US" sz="1325" b="1" i="0" strike="noStrike" baseline="0">
              <a:solidFill>
                <a:srgbClr val="0000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endParaRPr>
          </a:p>
        </rich>
      </tx>
      <layout/>
      <overlay val="0"/>
    </title>
    <plotArea>
      <layout>
        <manualLayout>
          <layoutTarget val="inner"/>
          <xMode val="edge"/>
          <yMode val="edge"/>
          <wMode val="factor"/>
          <hMode val="factor"/>
          <x val="0.042"/>
          <y val="0.1415"/>
          <w val="0.8315"/>
          <h val="0.72"/>
        </manualLayout>
      </layout>
      <lineChart>
        <grouping val="stacked"/>
        <varyColors val="0"/>
        <ser>
          <idx val="0"/>
          <order val="0"/>
          <tx>
            <strRef>
              <f>[1]Sheet1!$B$9</f>
              <strCache>
                <ptCount val="1"/>
                <pt idx="0">
                  <v>Weight (pounds)</v>
                </pt>
              </strCache>
            </strRef>
          </tx>
          <spPr>
            <a:ln w="12700" cap="rnd" cmpd="sng" algn="ctr">
              <a:solidFill>
                <a:srgbClr val="333333"/>
              </a:solidFill>
              <a:prstDash val="solid"/>
              <a:round/>
            </a:ln>
          </spPr>
          <marker>
            <symbol val="diamond"/>
            <size val="5"/>
            <spPr>
              <a:solidFill>
                <a:srgbClr val="000080"/>
              </a:solidFill>
              <a:ln w="6350" cap="flat" cmpd="sng" algn="ctr">
                <a:solidFill>
                  <a:srgbClr val="000080"/>
                </a:solidFill>
                <a:prstDash val="solid"/>
                <a:round/>
              </a:ln>
            </spPr>
          </marker>
          <cat>
            <strRef>
              <f>[1]Sheet1!$C$7:$K$8</f>
              <strCache>
                <ptCount val="9"/>
                <pt idx="0">
                  <v>21/Mar/2007</v>
                </pt>
                <pt idx="1">
                  <v>22/Mar/2007</v>
                </pt>
                <pt idx="2">
                  <v>23/Mar/2007</v>
                </pt>
                <pt idx="3">
                  <v>24/Mar/2007</v>
                </pt>
                <pt idx="4">
                  <v>25/Mar/2007</v>
                </pt>
                <pt idx="5">
                  <v>26/Mar/2007</v>
                </pt>
                <pt idx="6">
                  <v>27/Mar/2007</v>
                </pt>
                <pt idx="7">
                  <v>28/Mar/2007</v>
                </pt>
                <pt idx="8">
                  <v>29/Mar/2007</v>
                </pt>
              </strCache>
            </strRef>
          </cat>
          <val>
            <numRef>
              <f>[1]Sheet1!$C$9:$K$9</f>
              <numCache>
                <formatCode>0.00_);[Red]\(0.00\)</formatCode>
                <ptCount val="9"/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  <smooth val="0"/>
        </ser>
        <ser>
          <idx val="1"/>
          <order val="1"/>
          <tx>
            <strRef>
              <f>[1]Sheet1!$B$16</f>
              <strCache>
                <ptCount val="1"/>
                <pt idx="0">
                  <v>Lean Body Weight</v>
                </pt>
              </strCache>
            </strRef>
          </tx>
          <spPr>
            <a:ln w="12700" cap="rnd" cmpd="sng" algn="ctr">
              <a:solidFill>
                <a:srgbClr val="0000FF"/>
              </a:solidFill>
              <a:prstDash val="solid"/>
              <a:round/>
            </a:ln>
          </spPr>
          <marker>
            <symbol val="circle"/>
            <size val="5"/>
            <spPr>
              <a:noFill/>
              <a:ln w="6350" cap="flat" cmpd="sng" algn="ctr">
                <a:solidFill>
                  <a:srgbClr val="000000"/>
                </a:solidFill>
                <a:prstDash val="solid"/>
                <a:round/>
              </a:ln>
            </spPr>
          </marker>
          <cat>
            <strRef>
              <f>[1]Sheet1!$C$7:$K$8</f>
              <strCache>
                <ptCount val="9"/>
                <pt idx="0">
                  <v>21/Mar/2007</v>
                </pt>
                <pt idx="1">
                  <v>22/Mar/2007</v>
                </pt>
                <pt idx="2">
                  <v>23/Mar/2007</v>
                </pt>
                <pt idx="3">
                  <v>24/Mar/2007</v>
                </pt>
                <pt idx="4">
                  <v>25/Mar/2007</v>
                </pt>
                <pt idx="5">
                  <v>26/Mar/2007</v>
                </pt>
                <pt idx="6">
                  <v>27/Mar/2007</v>
                </pt>
                <pt idx="7">
                  <v>28/Mar/2007</v>
                </pt>
                <pt idx="8">
                  <v>29/Mar/2007</v>
                </pt>
              </strCache>
            </strRef>
          </cat>
          <val>
            <numRef>
              <f>[1]Sheet1!$C$16:$K$16</f>
              <numCache>
                <formatCode>General</formatCode>
                <ptCount val="9"/>
                <pt idx="0">
                  <v>8.987</v>
                </pt>
                <pt idx="1">
                  <v>8.987</v>
                </pt>
                <pt idx="2">
                  <v>8.987</v>
                </pt>
                <pt idx="3">
                  <v>8.987</v>
                </pt>
                <pt idx="4">
                  <v>8.987</v>
                </pt>
                <pt idx="5">
                  <v>8.987</v>
                </pt>
                <pt idx="6">
                  <v>8.987</v>
                </pt>
                <pt idx="7">
                  <v>8.987</v>
                </pt>
                <pt idx="8">
                  <v>8.987</v>
                </pt>
              </numCache>
            </numRef>
          </val>
          <smooth val="0"/>
        </ser>
        <ser>
          <idx val="2"/>
          <order val="2"/>
          <tx>
            <strRef>
              <f>[1]Sheet1!$B$19</f>
              <strCache>
                <ptCount val="1"/>
                <pt idx="0">
                  <v>Body Mass Index</v>
                </pt>
              </strCache>
            </strRef>
          </tx>
          <spPr>
            <a:ln w="12700" cap="rnd" cmpd="sng" algn="ctr">
              <a:solidFill>
                <a:srgbClr val="339966"/>
              </a:solidFill>
              <a:prstDash val="solid"/>
              <a:round/>
            </a:ln>
          </spPr>
          <marker>
            <symbol val="square"/>
            <size val="5"/>
            <spPr>
              <a:solidFill>
                <a:srgbClr val="000000"/>
              </a:solidFill>
              <a:ln w="6350" cap="flat" cmpd="sng" algn="ctr">
                <a:solidFill>
                  <a:srgbClr val="339966"/>
                </a:solidFill>
                <a:prstDash val="solid"/>
                <a:round/>
              </a:ln>
            </spPr>
          </marker>
          <cat>
            <strRef>
              <f>[1]Sheet1!$C$7:$K$8</f>
              <strCache>
                <ptCount val="9"/>
                <pt idx="0">
                  <v>21/Mar/2007</v>
                </pt>
                <pt idx="1">
                  <v>22/Mar/2007</v>
                </pt>
                <pt idx="2">
                  <v>23/Mar/2007</v>
                </pt>
                <pt idx="3">
                  <v>24/Mar/2007</v>
                </pt>
                <pt idx="4">
                  <v>25/Mar/2007</v>
                </pt>
                <pt idx="5">
                  <v>26/Mar/2007</v>
                </pt>
                <pt idx="6">
                  <v>27/Mar/2007</v>
                </pt>
                <pt idx="7">
                  <v>28/Mar/2007</v>
                </pt>
                <pt idx="8">
                  <v>29/Mar/2007</v>
                </pt>
              </strCache>
            </strRef>
          </cat>
          <val>
            <numRef>
              <f>[1]Sheet1!$C$19:$K$19</f>
              <numCache>
                <formatCode>0.00_);[Red]\(0.00\)</formatCode>
                <ptCount val="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78766032"/>
        <axId val="283414172"/>
      </lineChart>
      <dateAx>
        <axId val="978766032"/>
        <scaling>
          <orientation val="minMax"/>
        </scaling>
        <delete val="0"/>
        <axPos val="b"/>
        <title>
          <tx>
            <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strike="noStrike" kern="1200" baseline="0">
                    <a:solidFill>
                      <a:srgbClr val="000000"/>
                    </a:solidFill>
                    <a:latin typeface="Arial" panose="020B0604020202020204" charset="-122"/>
                    <a:ea typeface="Arial" panose="020B0604020202020204" charset="-122"/>
                    <a:cs typeface="Arial" panose="020B0604020202020204" charset="-122"/>
                  </a:defRPr>
                </a:pPr>
                <a:r>
                  <a:rPr lang="en-US"/>
                  <a:t>Date</a:t>
                </a:r>
                <a:endParaRPr lang="en-US" sz="1000" b="1" i="0" strike="noStrike" baseline="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</a:endParaRPr>
              </a:p>
            </rich>
          </tx>
          <layout/>
          <overlay val="0"/>
        </title>
        <numFmt formatCode="m\-d;\-;\-;@" sourceLinked="0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-6000000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283414172"/>
        <crosses val="autoZero"/>
        <lblOffset val="100"/>
        <baseTimeUnit val="days"/>
        <majorUnit val="1"/>
      </dateAx>
      <valAx>
        <axId val="283414172"/>
        <scaling>
          <orientation val="minMax"/>
        </scaling>
        <delete val="0"/>
        <axPos val="l"/>
        <title>
          <tx>
            <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strike="noStrike" kern="1200" baseline="0">
                    <a:solidFill>
                      <a:srgbClr val="000000"/>
                    </a:solidFill>
                    <a:latin typeface="Arial" panose="020B0604020202020204" charset="-122"/>
                    <a:ea typeface="Arial" panose="020B0604020202020204" charset="-122"/>
                    <a:cs typeface="Arial" panose="020B0604020202020204" charset="-122"/>
                  </a:defRPr>
                </a:pPr>
                <a:r>
                  <a:rPr lang="en-US"/>
                  <a:t>Scale ( in percent)</a:t>
                </a:r>
                <a:endParaRPr lang="en-US" sz="1000" b="1" i="0" strike="noStrike" baseline="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</a:endParaRPr>
              </a:p>
            </rich>
          </tx>
          <layout/>
          <overlay val="0"/>
        </title>
        <numFmt formatCode="General" sourceLinked="1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-6000000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978766032"/>
        <crosses val="autoZero"/>
        <crossBetween val="between"/>
      </valAx>
    </plotArea>
    <legend>
      <legendPos val="r"/>
      <legendEntry>
        <idx val="0"/>
        <delete val="0"/>
        <txPr>
          <a:bodyPr rot="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FF00FF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</a:defRPr>
            </a:pPr>
            <a:r>
              <a:t/>
            </a:r>
            <a:endParaRPr lang="zh-CN"/>
          </a:p>
        </txPr>
      </legendEntry>
      <legendEntry>
        <idx val="1"/>
        <delete val="0"/>
        <txPr>
          <a:bodyPr rot="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Tahoma\" charset="-122"/>
                <a:ea typeface="Tahoma\" charset="-122"/>
                <a:cs typeface="Tahoma\" charset="-122"/>
              </a:defRPr>
            </a:pPr>
            <a:r>
              <a:t/>
            </a:r>
            <a:endParaRPr lang="zh-CN"/>
          </a:p>
        </txPr>
      </legendEntry>
      <legendEntry>
        <idx val="2"/>
        <delete val="0"/>
        <txPr>
          <a:bodyPr rot="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</a:defRPr>
            </a:pPr>
            <a:r>
              <a:t/>
            </a:r>
            <a:endParaRPr lang="zh-CN"/>
          </a:p>
        </txPr>
      </legendEntry>
      <layout>
        <manualLayout>
          <xMode val="edge"/>
          <yMode val="edge"/>
          <wMode val="factor"/>
          <hMode val="factor"/>
          <x val="0.196"/>
          <y val="0.94225"/>
          <w val="0.512827508918695"/>
          <h val="0.0552025428496778"/>
        </manualLayout>
      </layout>
      <overlay val="0"/>
      <spPr>
        <a:noFill/>
        <a:ln w="3175">
          <a:solidFill>
            <a:srgbClr val="000000"/>
          </a:solidFill>
          <a:prstDash val="solid"/>
        </a:ln>
      </spPr>
      <txPr>
        <a:bodyPr rot="0" spcFirstLastPara="0" vertOverflow="ellipsis" vert="horz" wrap="square" anchor="ctr" anchorCtr="1"/>
        <a:lstStyle/>
        <a:p>
          <a:pPr>
            <a:defRPr lang="zh-CN" sz="1000" b="0" i="0" strike="noStrike" kern="1200" baseline="0">
              <a:solidFill>
                <a:srgbClr val="0000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defRPr>
          </a:pPr>
          <a:r>
            <a:t/>
          </a:r>
          <a:endParaRPr lang="zh-CN"/>
        </a:p>
      </txPr>
    </legend>
    <plotVisOnly val="1"/>
    <dispBlanksAs val="zero"/>
  </chart>
  <spPr>
    <a:solidFill>
      <a:srgbClr val="FFFFFF"/>
    </a:solidFill>
    <a:ln w="3175" cap="flat" cmpd="sng" algn="ctr">
      <a:solidFill>
        <a:srgbClr val="000000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Kingsoft</author>
  </authors>
  <commentList>
    <comment ref="C4" authorId="0" shapeId="0">
      <text>
        <t xml:space="preserve">Height: input feet of your height. eg: if your height is 6.2 input only 6
</t>
      </text>
    </comment>
    <comment ref="D4" authorId="0" shapeId="0">
      <text>
        <t>Height: input inches of your height. eg: if your height is 6 feet 
2 5/8  inches, input only 2 5/8. The fraction will be automatically converted to decimal</t>
      </text>
    </comment>
    <comment ref="B18" authorId="0" shapeId="0">
      <text>
        <t>Body Fat Percentage Classification :
Women (% fat) 
Essential Fat 10-12%
Athletes 14-20%   
Fitness 21-24% 	
Acceptable 25-31% 	
Obese 32% + 	
 Men (% fat)
Essential Fat 2-4%
Athletes 6-13%
Fitness 14-17%
Acceptable 18-25%
Obese 25% +</t>
      </text>
    </comment>
    <comment ref="B19" authorId="0" shapeId="0">
      <text>
        <t xml:space="preserve">BMI:    * A BMI of less than 18.5 is considered underweight.
    * A BMI of 18.5 to 24.9 is considered healthy.
    * A BMI of 25 to 29.9 is considered overweight.
    * A BMI of 30 or more is considered obese. 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580390</colOff>
      <row>20</row>
      <rowOff>57785</rowOff>
    </from>
    <to>
      <col>10</col>
      <colOff>681355</colOff>
      <row>43</row>
      <rowOff>5080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Women%20Fitness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heet1"/>
      <sheetName val="Sheet2"/>
      <sheetName val="Sheet3"/>
    </sheetNames>
    <sheetDataSet>
      <sheetData sheetId="0">
        <row r="8">
          <cell r="C8">
            <v>39162</v>
          </cell>
          <cell r="D8">
            <v>39163</v>
          </cell>
          <cell r="E8">
            <v>39164</v>
          </cell>
          <cell r="F8">
            <v>39165</v>
          </cell>
          <cell r="G8">
            <v>39166</v>
          </cell>
          <cell r="H8">
            <v>39167</v>
          </cell>
          <cell r="I8">
            <v>39168</v>
          </cell>
          <cell r="J8">
            <v>39169</v>
          </cell>
          <cell r="K8">
            <v>39170</v>
          </cell>
        </row>
        <row r="9">
          <cell r="B9" t="str">
            <v>Weight (pounds)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6">
          <cell r="B16" t="str">
            <v>Lean Body Weight</v>
          </cell>
          <cell r="C16">
            <v>8.9870000000000001</v>
          </cell>
          <cell r="D16">
            <v>8.9870000000000001</v>
          </cell>
          <cell r="E16">
            <v>8.9870000000000001</v>
          </cell>
          <cell r="F16">
            <v>8.9870000000000001</v>
          </cell>
          <cell r="G16">
            <v>8.9870000000000001</v>
          </cell>
          <cell r="H16">
            <v>8.9870000000000001</v>
          </cell>
          <cell r="I16">
            <v>8.9870000000000001</v>
          </cell>
          <cell r="J16">
            <v>8.9870000000000001</v>
          </cell>
          <cell r="K16">
            <v>8.9870000000000001</v>
          </cell>
        </row>
        <row r="19">
          <cell r="B19" t="str">
            <v>Body Mass Index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20"/>
  <sheetViews>
    <sheetView tabSelected="1" workbookViewId="0">
      <selection activeCell="A1" sqref="A1:XFD1048576"/>
    </sheetView>
  </sheetViews>
  <sheetFormatPr baseColWidth="8" defaultColWidth="9" defaultRowHeight="14.25"/>
  <cols>
    <col width="8.25" customWidth="1" style="11" min="1" max="1"/>
    <col width="16.875" customWidth="1" style="11" min="2" max="2"/>
    <col width="9" customWidth="1" style="11" min="3" max="12"/>
  </cols>
  <sheetData>
    <row r="1" ht="22.5" customFormat="1" customHeight="1" s="11">
      <c r="A1" s="11" t="n"/>
      <c r="B1" s="11" t="n"/>
      <c r="C1" s="2" t="inlineStr">
        <is>
          <t>FITNESS CHART FOR WOMEN</t>
        </is>
      </c>
      <c r="H1" s="11" t="n"/>
      <c r="I1" s="11" t="n"/>
      <c r="J1" s="11" t="n"/>
      <c r="K1" s="11" t="n"/>
      <c r="L1" s="11" t="n"/>
    </row>
    <row r="2" ht="12.75" customFormat="1" customHeight="1" s="11">
      <c r="A2" s="11" t="n"/>
      <c r="B2" s="11" t="n"/>
      <c r="C2" s="11" t="n"/>
      <c r="D2" s="11" t="n"/>
      <c r="E2" s="11" t="n"/>
      <c r="F2" s="11" t="n"/>
      <c r="G2" s="11" t="n"/>
      <c r="H2" s="11" t="n"/>
      <c r="I2" s="11" t="n"/>
      <c r="J2" s="11" t="n"/>
      <c r="K2" s="11" t="n"/>
      <c r="L2" s="11" t="n"/>
    </row>
    <row r="3" ht="18" customFormat="1" customHeight="1" s="11">
      <c r="A3" s="11" t="n"/>
      <c r="B3" s="6" t="inlineStr">
        <is>
          <t>Name:</t>
        </is>
      </c>
      <c r="C3" s="5" t="n"/>
      <c r="D3" s="11" t="n"/>
      <c r="E3" s="11" t="n"/>
      <c r="F3" s="11" t="n"/>
      <c r="G3" s="11" t="n"/>
      <c r="H3" s="11" t="n"/>
      <c r="I3" s="11" t="n"/>
      <c r="J3" s="11" t="n"/>
      <c r="K3" s="11" t="n"/>
      <c r="L3" s="11" t="n"/>
    </row>
    <row r="4" ht="18" customFormat="1" customHeight="1" s="11">
      <c r="A4" s="11" t="n"/>
      <c r="B4" s="6" t="inlineStr">
        <is>
          <t>Height:</t>
        </is>
      </c>
      <c r="C4" s="7" t="n"/>
      <c r="D4" s="35" t="n"/>
      <c r="E4" s="11" t="n"/>
      <c r="F4" s="11" t="n"/>
      <c r="G4" s="11" t="n"/>
      <c r="H4" s="11" t="n"/>
      <c r="I4" s="11" t="n"/>
      <c r="J4" s="11" t="n"/>
      <c r="K4" s="11" t="n"/>
      <c r="L4" s="11" t="n"/>
    </row>
    <row r="5" ht="12.75" customFormat="1" customHeight="1" s="11">
      <c r="A5" s="11" t="n"/>
      <c r="B5" s="9" t="n"/>
      <c r="C5" s="11" t="n"/>
      <c r="D5" s="11" t="n"/>
      <c r="E5" s="11" t="n"/>
      <c r="F5" s="11" t="n"/>
      <c r="G5" s="11" t="n"/>
      <c r="H5" s="11" t="n"/>
      <c r="I5" s="11" t="n"/>
      <c r="J5" s="11" t="n"/>
      <c r="K5" s="11" t="n"/>
      <c r="L5" s="11" t="n"/>
    </row>
    <row r="6" ht="12.75" customFormat="1" customHeight="1" s="11">
      <c r="A6" s="11" t="n"/>
      <c r="B6" s="11" t="n"/>
      <c r="C6" s="11" t="n"/>
      <c r="D6" s="11" t="n"/>
      <c r="E6" s="11" t="n"/>
      <c r="F6" s="11" t="n"/>
      <c r="G6" s="11" t="n"/>
      <c r="H6" s="11" t="n"/>
      <c r="I6" s="11" t="n"/>
      <c r="J6" s="11" t="n"/>
      <c r="K6" s="11" t="n"/>
      <c r="L6" s="11" t="n"/>
    </row>
    <row r="7" ht="12.75" customFormat="1" customHeight="1" s="11">
      <c r="A7" s="11" t="n"/>
      <c r="B7" s="11" t="n"/>
      <c r="C7" s="11" t="n"/>
      <c r="D7" s="11" t="n"/>
      <c r="E7" s="11" t="n"/>
      <c r="F7" s="11" t="n"/>
      <c r="G7" s="11" t="n"/>
      <c r="H7" s="11" t="n"/>
      <c r="I7" s="11" t="n"/>
      <c r="J7" s="11" t="n"/>
      <c r="K7" s="11" t="n"/>
      <c r="L7" s="11" t="n"/>
    </row>
    <row r="8" ht="12.75" customFormat="1" customHeight="1" s="11">
      <c r="A8" s="11" t="n"/>
      <c r="B8" s="11" t="n"/>
      <c r="C8" s="36" t="n">
        <v>39162</v>
      </c>
      <c r="D8" s="36" t="n">
        <v>39163</v>
      </c>
      <c r="E8" s="36" t="n">
        <v>39164</v>
      </c>
      <c r="F8" s="36" t="n">
        <v>39165</v>
      </c>
      <c r="G8" s="36" t="n">
        <v>39166</v>
      </c>
      <c r="H8" s="36" t="n">
        <v>39167</v>
      </c>
      <c r="I8" s="36" t="n">
        <v>39168</v>
      </c>
      <c r="J8" s="36" t="n">
        <v>39169</v>
      </c>
      <c r="K8" s="36" t="n">
        <v>39170</v>
      </c>
      <c r="L8" s="11" t="n"/>
    </row>
    <row r="9" ht="12.75" customFormat="1" customHeight="1" s="11">
      <c r="A9" s="11" t="n"/>
      <c r="B9" s="13" t="inlineStr">
        <is>
          <t>Weight (pounds)</t>
        </is>
      </c>
      <c r="C9" s="14" t="n"/>
      <c r="D9" s="37" t="n">
        <v>0</v>
      </c>
      <c r="E9" s="38" t="n">
        <v>0</v>
      </c>
      <c r="F9" s="38" t="n">
        <v>0</v>
      </c>
      <c r="G9" s="38" t="n">
        <v>0</v>
      </c>
      <c r="H9" s="38" t="n"/>
      <c r="I9" s="38" t="n"/>
      <c r="J9" s="38" t="n"/>
      <c r="K9" s="39" t="n"/>
      <c r="L9" s="5" t="n"/>
    </row>
    <row r="10" ht="12.75" customFormat="1" customHeight="1" s="11">
      <c r="A10" s="11" t="n"/>
      <c r="B10" s="13" t="inlineStr">
        <is>
          <t>Chest (inches)</t>
        </is>
      </c>
      <c r="C10" s="18" t="n"/>
      <c r="D10" s="40" t="n">
        <v>0</v>
      </c>
      <c r="E10" s="41" t="n"/>
      <c r="F10" s="41" t="n"/>
      <c r="G10" s="41" t="n"/>
      <c r="H10" s="41" t="n"/>
      <c r="I10" s="41" t="n"/>
      <c r="J10" s="41" t="n"/>
      <c r="K10" s="42" t="n"/>
      <c r="L10" s="5" t="n"/>
    </row>
    <row r="11" ht="12.75" customFormat="1" customHeight="1" s="11">
      <c r="A11" s="11" t="n"/>
      <c r="B11" s="13" t="inlineStr">
        <is>
          <t>Waist (inches)</t>
        </is>
      </c>
      <c r="C11" s="22" t="n"/>
      <c r="D11" s="40" t="n">
        <v>0</v>
      </c>
      <c r="E11" s="41" t="n"/>
      <c r="F11" s="41" t="n"/>
      <c r="G11" s="41" t="n"/>
      <c r="H11" s="41" t="n"/>
      <c r="I11" s="41" t="n"/>
      <c r="J11" s="41" t="n"/>
      <c r="K11" s="42" t="n"/>
      <c r="L11" s="5" t="n"/>
    </row>
    <row r="12" ht="12.75" customFormat="1" customHeight="1" s="11">
      <c r="A12" s="11" t="n"/>
      <c r="B12" s="13" t="inlineStr">
        <is>
          <t>Hips (inches)</t>
        </is>
      </c>
      <c r="C12" s="23" t="n"/>
      <c r="D12" s="40" t="n">
        <v>0</v>
      </c>
      <c r="E12" s="41" t="n"/>
      <c r="F12" s="41" t="n"/>
      <c r="G12" s="41" t="n"/>
      <c r="H12" s="41" t="n"/>
      <c r="I12" s="41" t="n"/>
      <c r="J12" s="41" t="n"/>
      <c r="K12" s="42" t="n"/>
      <c r="L12" s="5" t="n"/>
    </row>
    <row r="13" ht="12.75" customFormat="1" customHeight="1" s="11">
      <c r="A13" s="11" t="n"/>
      <c r="B13" s="13" t="inlineStr">
        <is>
          <t>Wrist (inches)</t>
        </is>
      </c>
      <c r="C13" s="24" t="n"/>
      <c r="D13" s="40" t="n">
        <v>0</v>
      </c>
      <c r="E13" s="41" t="n"/>
      <c r="F13" s="41" t="n"/>
      <c r="G13" s="41" t="n"/>
      <c r="H13" s="41" t="n"/>
      <c r="I13" s="41" t="n"/>
      <c r="J13" s="41" t="n"/>
      <c r="K13" s="42" t="n"/>
      <c r="L13" s="5" t="n"/>
    </row>
    <row r="14" ht="12.75" customFormat="1" customHeight="1" s="11">
      <c r="A14" s="11" t="n"/>
      <c r="B14" s="13" t="inlineStr">
        <is>
          <t>Forearm (inches)</t>
        </is>
      </c>
      <c r="C14" s="25" t="n"/>
      <c r="D14" s="40" t="n">
        <v>0</v>
      </c>
      <c r="E14" s="41" t="n"/>
      <c r="F14" s="41" t="n"/>
      <c r="G14" s="41" t="n"/>
      <c r="H14" s="41" t="n"/>
      <c r="I14" s="41" t="n"/>
      <c r="J14" s="41" t="n"/>
      <c r="K14" s="42" t="n"/>
      <c r="L14" s="5" t="n"/>
    </row>
    <row r="15" ht="12.75" customFormat="1" customHeight="1" s="11">
      <c r="A15" s="11" t="n"/>
      <c r="B15" s="11" t="n"/>
      <c r="C15" s="26" t="n"/>
      <c r="D15" s="26" t="n"/>
      <c r="E15" s="26" t="n"/>
      <c r="F15" s="26" t="n"/>
      <c r="G15" s="26" t="n"/>
      <c r="H15" s="26" t="n"/>
      <c r="I15" s="26" t="n"/>
      <c r="J15" s="26" t="n"/>
      <c r="K15" s="26" t="n"/>
      <c r="L15" s="11" t="n"/>
    </row>
    <row r="16" ht="12.75" customFormat="1" customHeight="1" s="11">
      <c r="A16" s="11" t="n"/>
      <c r="B16" s="27" t="inlineStr">
        <is>
          <t>Lean Body Weight</t>
        </is>
      </c>
      <c r="C16" s="28">
        <f>((C9*0.732)+8.987)+(C11*0.157)-(C12*0.249)+(C14*0.434)</f>
        <v/>
      </c>
      <c r="D16" s="28">
        <f>((D9*0.732)+8.987)+(D13/3.14)-(D11*0.157)-(D12*0.249)+(D14*0.434)</f>
        <v/>
      </c>
      <c r="E16" s="28">
        <f>((E9*0.732)+8.987)+(E13/3.14)-(E11*0.157)-(E12*0.249)+(E14*0.434)</f>
        <v/>
      </c>
      <c r="F16" s="28">
        <f>((F9*0.732)+8.987)+(F13/3.14)-(F11*0.157)-(F12*0.249)+(F14*0.434)</f>
        <v/>
      </c>
      <c r="G16" s="28">
        <f>((G9*0.732)+8.987)+(G13/3.14)-(G11*0.157)-(G12*0.249)+(G14*0.434)</f>
        <v/>
      </c>
      <c r="H16" s="28">
        <f>((H9*0.732)+8.987)+(H13/3.14)-(H11*0.157)-(H12*0.249)+(H14*0.434)</f>
        <v/>
      </c>
      <c r="I16" s="28">
        <f>((I9*0.732)+8.987)+(I13/3.14)-(I11*0.157)-(I12*0.249)+(I14*0.434)</f>
        <v/>
      </c>
      <c r="J16" s="28">
        <f>((J9*0.732)+8.987)+(J13/3.14)-(J11*0.157)-(J12*0.249)+(J14*0.434)</f>
        <v/>
      </c>
      <c r="K16" s="28">
        <f>((K9*0.732)+8.987)+(K13/3.14)-(K11*0.157)-(K12*0.249)+(K14*0.434)</f>
        <v/>
      </c>
      <c r="L16" s="11" t="n"/>
    </row>
    <row r="17" ht="12.75" customFormat="1" customHeight="1" s="11">
      <c r="A17" s="11" t="n"/>
      <c r="B17" s="29" t="inlineStr">
        <is>
          <t xml:space="preserve">Body Fat Weight </t>
        </is>
      </c>
      <c r="C17" s="30">
        <f>C9-C16</f>
        <v/>
      </c>
      <c r="D17" s="30">
        <f>D9-D16</f>
        <v/>
      </c>
      <c r="E17" s="30">
        <f>E9-E16</f>
        <v/>
      </c>
      <c r="F17" s="30">
        <f>F9-F16</f>
        <v/>
      </c>
      <c r="G17" s="30">
        <f>G9-G16</f>
        <v/>
      </c>
      <c r="H17" s="30">
        <f>H9-H16</f>
        <v/>
      </c>
      <c r="I17" s="30">
        <f>I9-I16</f>
        <v/>
      </c>
      <c r="J17" s="30">
        <f>J9-J16</f>
        <v/>
      </c>
      <c r="K17" s="30">
        <f>K9-K16</f>
        <v/>
      </c>
      <c r="L17" s="11" t="n"/>
    </row>
    <row r="18" ht="12.75" customFormat="1" customHeight="1" s="11">
      <c r="A18" s="11" t="n"/>
      <c r="B18" s="29" t="inlineStr">
        <is>
          <t>Body Fat Percentage</t>
        </is>
      </c>
      <c r="C18" s="31">
        <f>IF(C9=0,0,C17/C9)</f>
        <v/>
      </c>
      <c r="D18" s="31">
        <f>IF(D9=0,0,D17/D9)</f>
        <v/>
      </c>
      <c r="E18" s="31">
        <f>IF(E9=0,0,E17/E9)</f>
        <v/>
      </c>
      <c r="F18" s="31">
        <f>IF(F9=0,0,F17/F9)</f>
        <v/>
      </c>
      <c r="G18" s="31">
        <f>IF(G9=0,0,G17/G9)</f>
        <v/>
      </c>
      <c r="H18" s="31">
        <f>IF(H9=0,0,H17/H9)</f>
        <v/>
      </c>
      <c r="I18" s="31">
        <f>IF(I9=0,0,I17/I9)</f>
        <v/>
      </c>
      <c r="J18" s="31">
        <f>IF(J9=0,0,J17/J9)</f>
        <v/>
      </c>
      <c r="K18" s="31">
        <f>IF(K9=0,0,K17/K9)</f>
        <v/>
      </c>
      <c r="L18" s="11" t="n"/>
    </row>
    <row r="19" ht="12.75" customFormat="1" customHeight="1" s="11">
      <c r="A19" s="11" t="n"/>
      <c r="B19" s="29" t="inlineStr">
        <is>
          <t>Body Mass Index</t>
        </is>
      </c>
      <c r="C19" s="43">
        <f>IF($C$4=0,0,IF($D$4=0,0,(C9/(($C$4*12)+$D$4))/(($C$4*12)+$D$4)*703))</f>
        <v/>
      </c>
      <c r="D19" s="43">
        <f>IF($C$4=0,0,IF($D$4=0,0,(D9/(($C$4*12)+$D$4))/(($C$4*12)+$D$4)*703))</f>
        <v/>
      </c>
      <c r="E19" s="43">
        <f>IF($C$4=0,0,IF($D$4=0,0,(E9/(($C$4*12)+$D$4))/(($C$4*12)+$D$4)*703))</f>
        <v/>
      </c>
      <c r="F19" s="43">
        <f>IF($C$4=0,0,IF($D$4=0,0,(F9/(($C$4*12)+$D$4))/(($C$4*12)+$D$4)*703))</f>
        <v/>
      </c>
      <c r="G19" s="43">
        <f>IF($C$4=0,0,IF($D$4=0,0,(G9/(($C$4*12)+$D$4))/(($C$4*12)+$D$4)*703))</f>
        <v/>
      </c>
      <c r="H19" s="43">
        <f>IF($C$4=0,0,IF($D$4=0,0,(H9/(($C$4*12)+$D$4))/(($C$4*12)+$D$4)*703))</f>
        <v/>
      </c>
      <c r="I19" s="43">
        <f>IF($C$4=0,0,IF($D$4=0,0,(I9/(($C$4*12)+$D$4))/(($C$4*12)+$D$4)*703))</f>
        <v/>
      </c>
      <c r="J19" s="43">
        <f>IF($C$4=0,0,IF($D$4=0,0,(J9/(($C$4*12)+$D$4))/(($C$4*12)+$D$4)*703))</f>
        <v/>
      </c>
      <c r="K19" s="43">
        <f>IF($C$4=0,0,IF($D$4=0,0,(K9/(($C$4*12)+$D$4))/(($C$4*12)+$D$4)*703))</f>
        <v/>
      </c>
      <c r="L19" s="11" t="n"/>
    </row>
    <row r="20" ht="12.75" customFormat="1" customHeight="1" s="11">
      <c r="A20" s="11" t="n"/>
      <c r="B20" s="33" t="inlineStr">
        <is>
          <t>Status</t>
        </is>
      </c>
      <c r="C20" s="44">
        <f>IF(C19&gt;=30%,"Obese",IF(25%&lt;=C19&lt;30%,"Overweight",IF(25%&lt;C19&lt;=18.5%,"Healthy",IF(C19&lt;18.5%,"Underweight"))))</f>
        <v/>
      </c>
      <c r="D20" s="44">
        <f>IF(D19&gt;=30%,"Obese",IF(25%&lt;=D19&lt;30%,"Overweight",IF(25%&lt;D19&lt;=18.5%,"Healthy",IF(D19&lt;18.5%,"Underweight"))))</f>
        <v/>
      </c>
      <c r="E20" s="44">
        <f>IF(E19&gt;=30%,"Obese",IF(25%&lt;=E19&lt;30%,"Overweight",IF(25%&lt;E19&lt;=18.5%,"Healthy",IF(E19&lt;18.5%,"Underweight"))))</f>
        <v/>
      </c>
      <c r="F20" s="44">
        <f>IF(F19&gt;=30%,"Obese",IF(25%&lt;=F19&lt;30%,"Overweight",IF(25%&lt;F19&lt;=18.5%,"Healthy",IF(F19&lt;18.5%,"Underweight"))))</f>
        <v/>
      </c>
      <c r="G20" s="44">
        <f>IF(G19&gt;=30%,"Obese",IF(25%&lt;=G19&lt;30%,"Overweight",IF(25%&lt;G19&lt;=18.5%,"Healthy",IF(G19&lt;18.5%,"Underweight"))))</f>
        <v/>
      </c>
      <c r="H20" s="44">
        <f>IF(H19&gt;=30%,"Obese",IF(25%&lt;=H19&lt;30%,"Overweight",IF(25%&lt;H19&lt;=18.5%,"Healthy",IF(H19&lt;18.5%,"Underweight"))))</f>
        <v/>
      </c>
      <c r="I20" s="44">
        <f>IF(I19&gt;=30%,"Obese",IF(25%&lt;=I19&lt;30%,"Overweight",IF(25%&lt;I19&lt;=18.5%,"Healthy",IF(I19&lt;18.5%,"Underweight"))))</f>
        <v/>
      </c>
      <c r="J20" s="44">
        <f>IF(J19&gt;=30%,"Obese",IF(25%&lt;=J19&lt;30%,"Overweight",IF(25%&lt;J19&lt;=18.5%,"Healthy",IF(J19&lt;18.5%,"Underweight"))))</f>
        <v/>
      </c>
      <c r="K20" s="44">
        <f>IF(K19&gt;=30%,"Obese",IF(25%&lt;=K19&lt;30%,"Overweight",IF(25%&lt;K19&lt;=18.5%,"Healthy",IF(K19&lt;18.5%,"Underweight"))))</f>
        <v/>
      </c>
      <c r="L20" s="11" t="n"/>
    </row>
  </sheetData>
  <mergeCells count="1">
    <mergeCell ref="C1:G1"/>
  </mergeCells>
  <conditionalFormatting sqref="C18:K18">
    <cfRule type="cellIs" priority="2" operator="equal" dxfId="1" stopIfTrue="1">
      <formula>#DIV/0!</formula>
    </cfRule>
  </conditionalFormatting>
  <conditionalFormatting sqref="C19:K19">
    <cfRule type="cellIs" priority="1" operator="between" dxfId="0" stopIfTrue="1">
      <formula>25</formula>
      <formula>29.9</formula>
    </cfRule>
  </conditionalFormatting>
  <dataValidations count="1">
    <dataValidation sqref="C4" showDropDown="0" showInputMessage="0" showErrorMessage="1" allowBlank="0" errorTitle="Incorrect Data" error="Please type in your height ( just the feet) in whole number." type="whole" operator="greaterThanOrEqual">
      <formula1>1</formula1>
    </dataValidation>
  </dataValidations>
  <pageMargins left="0.7" right="0.7" top="0.75" bottom="0.75" header="0.3" footer="0.3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2019-03-27T07:37:41Z</dcterms:created>
  <dcterms:modified xsi:type="dcterms:W3CDTF">2025-07-21T10:00:40Z</dcterms:modified>
  <cp:lastModifiedBy/>
</cp:coreProperties>
</file>