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9010" windowHeight="12210" tabRatio="600" firstSheet="0" activeTab="0" autoFilterDateGrouping="1"/>
  </bookViews>
  <sheets>
    <sheet name="工資表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5">
    <font>
      <name val="宋体"/>
      <charset val="134"/>
      <family val="2"/>
      <color theme="1"/>
      <sz val="11"/>
      <scheme val="minor"/>
    </font>
    <font>
      <name val="宋体"/>
      <charset val="134"/>
      <family val="3"/>
      <color indexed="8"/>
      <sz val="11"/>
    </font>
    <font>
      <name val="微软雅黑"/>
      <charset val="134"/>
      <family val="2"/>
      <color indexed="8"/>
      <sz val="18"/>
    </font>
    <font>
      <name val="微软雅黑"/>
      <charset val="134"/>
      <family val="2"/>
      <color indexed="8"/>
      <sz val="10"/>
    </font>
    <font>
      <name val="宋体"/>
      <charset val="134"/>
      <family val="2"/>
      <sz val="9"/>
      <scheme val="minor"/>
    </font>
  </fonts>
  <fills count="3">
    <fill>
      <patternFill/>
    </fill>
    <fill>
      <patternFill patternType="gray125"/>
    </fill>
    <fill>
      <patternFill patternType="solid">
        <fgColor rgb="FFF2F2F2"/>
        <bgColor indexed="64"/>
      </patternFill>
    </fill>
  </fills>
  <borders count="61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/>
      <diagonal/>
    </border>
    <border>
      <left style="dotted">
        <color auto="1"/>
      </left>
      <right style="medium">
        <color auto="1"/>
      </right>
      <top/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dotted">
        <color auto="1"/>
      </right>
      <top/>
      <bottom/>
      <diagonal/>
    </border>
  </borders>
  <cellStyleXfs count="1">
    <xf numFmtId="0" fontId="0" fillId="0" borderId="0" applyAlignment="1">
      <alignment vertical="center"/>
    </xf>
  </cellStyleXfs>
  <cellXfs count="68">
    <xf numFmtId="0" fontId="0" fillId="0" borderId="0" applyAlignment="1" pivotButton="0" quotePrefix="0" xfId="0">
      <alignment vertical="center"/>
    </xf>
    <xf numFmtId="0" fontId="3" fillId="2" borderId="14" applyAlignment="1" pivotButton="0" quotePrefix="0" xfId="0">
      <alignment horizontal="center" vertical="center" wrapText="1"/>
    </xf>
    <xf numFmtId="0" fontId="3" fillId="2" borderId="15" applyAlignment="1" pivotButton="0" quotePrefix="0" xfId="0">
      <alignment horizontal="center" vertical="center" wrapText="1"/>
    </xf>
    <xf numFmtId="0" fontId="3" fillId="2" borderId="16" applyAlignment="1" pivotButton="0" quotePrefix="0" xfId="0">
      <alignment horizontal="center" vertical="center" wrapText="1"/>
    </xf>
    <xf numFmtId="0" fontId="3" fillId="2" borderId="17" applyAlignment="1" pivotButton="0" quotePrefix="0" xfId="0">
      <alignment horizontal="center" vertical="center" wrapText="1"/>
    </xf>
    <xf numFmtId="0" fontId="3" fillId="2" borderId="18" applyAlignment="1" pivotButton="0" quotePrefix="0" xfId="0">
      <alignment horizontal="center" vertical="center" wrapText="1"/>
    </xf>
    <xf numFmtId="0" fontId="3" fillId="0" borderId="19" applyAlignment="1" pivotButton="0" quotePrefix="0" xfId="0">
      <alignment horizontal="center" vertical="center"/>
    </xf>
    <xf numFmtId="0" fontId="3" fillId="0" borderId="2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 vertical="center"/>
    </xf>
    <xf numFmtId="0" fontId="3" fillId="0" borderId="22" applyAlignment="1" pivotButton="0" quotePrefix="0" xfId="0">
      <alignment horizontal="right" vertical="center"/>
    </xf>
    <xf numFmtId="0" fontId="3" fillId="0" borderId="20" applyAlignment="1" pivotButton="0" quotePrefix="0" xfId="0">
      <alignment horizontal="right" vertical="center"/>
    </xf>
    <xf numFmtId="0" fontId="3" fillId="0" borderId="23" applyAlignment="1" pivotButton="0" quotePrefix="0" xfId="0">
      <alignment horizontal="right" vertical="center"/>
    </xf>
    <xf numFmtId="0" fontId="3" fillId="0" borderId="24" applyAlignment="1" pivotButton="0" quotePrefix="0" xfId="0">
      <alignment horizontal="right" vertical="center"/>
    </xf>
    <xf numFmtId="0" fontId="3" fillId="0" borderId="21" applyAlignment="1" pivotButton="0" quotePrefix="0" xfId="0">
      <alignment horizontal="right" vertical="center"/>
    </xf>
    <xf numFmtId="0" fontId="3" fillId="0" borderId="25" applyAlignment="1" pivotButton="0" quotePrefix="0" xfId="0">
      <alignment horizontal="center" vertical="center"/>
    </xf>
    <xf numFmtId="0" fontId="3" fillId="0" borderId="26" applyAlignment="1" pivotButton="0" quotePrefix="0" xfId="0">
      <alignment horizontal="center" vertical="center"/>
    </xf>
    <xf numFmtId="0" fontId="3" fillId="0" borderId="27" applyAlignment="1" pivotButton="0" quotePrefix="0" xfId="0">
      <alignment vertical="center"/>
    </xf>
    <xf numFmtId="0" fontId="3" fillId="0" borderId="28" applyAlignment="1" pivotButton="0" quotePrefix="0" xfId="0">
      <alignment vertical="center"/>
    </xf>
    <xf numFmtId="0" fontId="3" fillId="0" borderId="29" applyAlignment="1" pivotButton="0" quotePrefix="0" xfId="0">
      <alignment horizontal="right" vertical="center"/>
    </xf>
    <xf numFmtId="0" fontId="3" fillId="0" borderId="27" applyAlignment="1" pivotButton="0" quotePrefix="0" xfId="0">
      <alignment horizontal="right" vertical="center"/>
    </xf>
    <xf numFmtId="0" fontId="3" fillId="0" borderId="30" applyAlignment="1" pivotButton="0" quotePrefix="0" xfId="0">
      <alignment horizontal="right" vertical="center"/>
    </xf>
    <xf numFmtId="0" fontId="3" fillId="0" borderId="28" applyAlignment="1" pivotButton="0" quotePrefix="0" xfId="0">
      <alignment horizontal="right" vertical="center"/>
    </xf>
    <xf numFmtId="0" fontId="3" fillId="0" borderId="31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3" fillId="2" borderId="35" applyAlignment="1" pivotButton="0" quotePrefix="0" xfId="0">
      <alignment horizontal="right" vertical="center"/>
    </xf>
    <xf numFmtId="0" fontId="3" fillId="2" borderId="36" applyAlignment="1" pivotButton="0" quotePrefix="0" xfId="0">
      <alignment horizontal="right" vertical="center"/>
    </xf>
    <xf numFmtId="0" fontId="3" fillId="2" borderId="37" applyAlignment="1" pivotButton="0" quotePrefix="0" xfId="0">
      <alignment horizontal="right" vertical="center"/>
    </xf>
    <xf numFmtId="0" fontId="3" fillId="2" borderId="38" applyAlignment="1" pivotButton="0" quotePrefix="0" xfId="0">
      <alignment horizontal="right" vertical="center"/>
    </xf>
    <xf numFmtId="0" fontId="3" fillId="2" borderId="39" applyAlignment="1" pivotButton="0" quotePrefix="0" xfId="0">
      <alignment horizontal="right" vertical="center"/>
    </xf>
    <xf numFmtId="0" fontId="3" fillId="2" borderId="40" applyAlignment="1" pivotButton="0" quotePrefix="0" xfId="0">
      <alignment horizontal="right" vertical="center"/>
    </xf>
    <xf numFmtId="0" fontId="3" fillId="2" borderId="41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3" fillId="2" borderId="12" applyAlignment="1" pivotButton="0" quotePrefix="0" xfId="0">
      <alignment horizontal="center" vertical="center" wrapText="1"/>
    </xf>
    <xf numFmtId="0" fontId="3" fillId="2" borderId="13" applyAlignment="1" pivotButton="0" quotePrefix="0" xfId="0">
      <alignment horizontal="center" vertical="center" wrapText="1"/>
    </xf>
    <xf numFmtId="0" fontId="3" fillId="2" borderId="32" applyAlignment="1" pivotButton="0" quotePrefix="0" xfId="0">
      <alignment horizontal="center" vertical="center"/>
    </xf>
    <xf numFmtId="0" fontId="3" fillId="2" borderId="34" applyAlignment="1" pivotButton="0" quotePrefix="0" xfId="0">
      <alignment horizontal="center" vertical="center"/>
    </xf>
    <xf numFmtId="0" fontId="3" fillId="2" borderId="33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 wrapText="1"/>
    </xf>
    <xf numFmtId="0" fontId="3" fillId="2" borderId="2" applyAlignment="1" pivotButton="0" quotePrefix="0" xfId="0">
      <alignment horizontal="center" vertical="center" wrapText="1"/>
    </xf>
    <xf numFmtId="0" fontId="3" fillId="2" borderId="3" applyAlignment="1" pivotButton="0" quotePrefix="0" xfId="0">
      <alignment horizontal="center" vertical="center" wrapText="1"/>
    </xf>
    <xf numFmtId="0" fontId="3" fillId="2" borderId="4" applyAlignment="1" pivotButton="0" quotePrefix="0" xfId="0">
      <alignment horizontal="center" vertical="center" wrapText="1"/>
    </xf>
    <xf numFmtId="0" fontId="3" fillId="2" borderId="5" applyAlignment="1" pivotButton="0" quotePrefix="0" xfId="0">
      <alignment horizontal="center" vertical="center" wrapText="1"/>
    </xf>
    <xf numFmtId="0" fontId="3" fillId="2" borderId="6" applyAlignment="1" pivotButton="0" quotePrefix="0" xfId="0">
      <alignment horizontal="center" vertical="center" wrapText="1"/>
    </xf>
    <xf numFmtId="0" fontId="3" fillId="2" borderId="7" applyAlignment="1" pivotButton="0" quotePrefix="0" xfId="0">
      <alignment horizontal="center" vertical="center"/>
    </xf>
    <xf numFmtId="0" fontId="3" fillId="2" borderId="8" applyAlignment="1" pivotButton="0" quotePrefix="0" xfId="0">
      <alignment horizontal="center" vertical="center" wrapText="1"/>
    </xf>
    <xf numFmtId="0" fontId="3" fillId="2" borderId="7" applyAlignment="1" pivotButton="0" quotePrefix="0" xfId="0">
      <alignment horizontal="center" vertical="center" wrapText="1"/>
    </xf>
    <xf numFmtId="0" fontId="3" fillId="2" borderId="9" applyAlignment="1" pivotButton="0" quotePrefix="0" xfId="0">
      <alignment horizontal="center" vertical="center" wrapText="1"/>
    </xf>
    <xf numFmtId="0" fontId="3" fillId="2" borderId="10" applyAlignment="1" pivotButton="0" quotePrefix="0" xfId="0">
      <alignment horizontal="center" vertical="center" wrapText="1"/>
    </xf>
    <xf numFmtId="0" fontId="3" fillId="2" borderId="11" applyAlignment="1" pivotButton="0" quotePrefix="0" xfId="0">
      <alignment horizontal="center" vertical="center" wrapText="1"/>
    </xf>
    <xf numFmtId="0" fontId="0" fillId="0" borderId="0" pivotButton="0" quotePrefix="0" xfId="0"/>
    <xf numFmtId="0" fontId="3" fillId="2" borderId="48" applyAlignment="1" pivotButton="0" quotePrefix="0" xfId="0">
      <alignment horizontal="center" vertical="center" wrapText="1"/>
    </xf>
    <xf numFmtId="0" fontId="3" fillId="2" borderId="51" applyAlignment="1" pivotButton="0" quotePrefix="0" xfId="0">
      <alignment horizontal="center" vertical="center" wrapText="1"/>
    </xf>
    <xf numFmtId="0" fontId="3" fillId="2" borderId="53" applyAlignment="1" pivotButton="0" quotePrefix="0" xfId="0">
      <alignment horizontal="center" vertical="center" wrapText="1"/>
    </xf>
    <xf numFmtId="0" fontId="0" fillId="0" borderId="7" pivotButton="0" quotePrefix="0" xfId="0"/>
    <xf numFmtId="0" fontId="3" fillId="2" borderId="56" applyAlignment="1" pivotButton="0" quotePrefix="0" xfId="0">
      <alignment horizontal="center" vertical="center" wrapText="1"/>
    </xf>
    <xf numFmtId="0" fontId="0" fillId="0" borderId="9" pivotButton="0" quotePrefix="0" xfId="0"/>
    <xf numFmtId="0" fontId="3" fillId="2" borderId="58" applyAlignment="1" pivotButton="0" quotePrefix="0" xfId="0">
      <alignment horizontal="center" vertical="center" wrapText="1"/>
    </xf>
    <xf numFmtId="0" fontId="3" fillId="2" borderId="42" applyAlignment="1" pivotButton="0" quotePrefix="0" xfId="0">
      <alignment horizontal="center" vertical="center" wrapText="1"/>
    </xf>
    <xf numFmtId="0" fontId="0" fillId="0" borderId="2" pivotButton="0" quotePrefix="0" xfId="0"/>
    <xf numFmtId="0" fontId="0" fillId="0" borderId="4" pivotButton="0" quotePrefix="0" xfId="0"/>
    <xf numFmtId="0" fontId="0" fillId="0" borderId="6" pivotButton="0" quotePrefix="0" xfId="0"/>
    <xf numFmtId="0" fontId="0" fillId="0" borderId="11" pivotButton="0" quotePrefix="0" xfId="0"/>
    <xf numFmtId="0" fontId="0" fillId="0" borderId="13" pivotButton="0" quotePrefix="0" xfId="0"/>
    <xf numFmtId="0" fontId="3" fillId="2" borderId="45" applyAlignment="1" pivotButton="0" quotePrefix="0" xfId="0">
      <alignment horizontal="center" vertical="center"/>
    </xf>
    <xf numFmtId="0" fontId="0" fillId="0" borderId="34" pivotButton="0" quotePrefix="0" xfId="0"/>
    <xf numFmtId="0" fontId="0" fillId="0" borderId="33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P15"/>
  <sheetViews>
    <sheetView tabSelected="1" workbookViewId="0">
      <selection activeCell="A1" sqref="A1:P1"/>
    </sheetView>
  </sheetViews>
  <sheetFormatPr baseColWidth="8" defaultRowHeight="13.5"/>
  <cols>
    <col width="5.625" customWidth="1" style="51" min="1" max="1"/>
    <col width="14.875" customWidth="1" style="51" min="2" max="2"/>
    <col width="9.75" customWidth="1" style="51" min="4" max="12"/>
    <col width="11.75" customWidth="1" style="51" min="15" max="15"/>
    <col width="11.375" customWidth="1" style="51" min="16" max="16"/>
  </cols>
  <sheetData>
    <row r="1" ht="25.5" customHeight="1" s="51" thickBot="1">
      <c r="A1" s="38" t="inlineStr">
        <is>
          <t>工   資   表</t>
        </is>
      </c>
    </row>
    <row r="2" ht="16.5" customHeight="1" s="51">
      <c r="A2" s="52" t="inlineStr">
        <is>
          <t>序號</t>
        </is>
      </c>
      <c r="B2" s="53" t="inlineStr">
        <is>
          <t>部門</t>
        </is>
      </c>
      <c r="C2" s="54" t="inlineStr">
        <is>
          <t>姓名</t>
        </is>
      </c>
      <c r="D2" s="45" t="inlineStr">
        <is>
          <t>應發工資</t>
        </is>
      </c>
      <c r="E2" s="55" t="n"/>
      <c r="F2" s="55" t="n"/>
      <c r="G2" s="56" t="inlineStr">
        <is>
          <t>應扣工資</t>
        </is>
      </c>
      <c r="H2" s="55" t="n"/>
      <c r="I2" s="57" t="n"/>
      <c r="J2" s="47" t="inlineStr">
        <is>
          <t xml:space="preserve"> 代繳五險一金</t>
        </is>
      </c>
      <c r="K2" s="55" t="n"/>
      <c r="L2" s="55" t="n"/>
      <c r="M2" s="58" t="inlineStr">
        <is>
          <t>個稅</t>
        </is>
      </c>
      <c r="N2" s="53" t="inlineStr">
        <is>
          <t>補助</t>
        </is>
      </c>
      <c r="O2" s="53" t="inlineStr">
        <is>
          <t xml:space="preserve"> 實發工資</t>
        </is>
      </c>
      <c r="P2" s="59" t="inlineStr">
        <is>
          <t>備註</t>
        </is>
      </c>
    </row>
    <row r="3" ht="16.5" customHeight="1" s="51">
      <c r="A3" s="60" t="n"/>
      <c r="B3" s="61" t="n"/>
      <c r="C3" s="62" t="n"/>
      <c r="D3" s="1" t="inlineStr">
        <is>
          <t>基本工資</t>
        </is>
      </c>
      <c r="E3" s="2" t="inlineStr">
        <is>
          <t>績效工資</t>
        </is>
      </c>
      <c r="F3" s="3" t="inlineStr">
        <is>
          <t>工資總額</t>
        </is>
      </c>
      <c r="G3" s="4" t="inlineStr">
        <is>
          <t>事/病假</t>
        </is>
      </c>
      <c r="H3" s="2" t="inlineStr">
        <is>
          <t>曠工/違紀</t>
        </is>
      </c>
      <c r="I3" s="5" t="inlineStr">
        <is>
          <t>應扣小計</t>
        </is>
      </c>
      <c r="J3" s="1" t="inlineStr">
        <is>
          <t>社保</t>
        </is>
      </c>
      <c r="K3" s="2" t="inlineStr">
        <is>
          <t>公積金</t>
        </is>
      </c>
      <c r="L3" s="3" t="inlineStr">
        <is>
          <t>扣款小計</t>
        </is>
      </c>
      <c r="M3" s="63" t="n"/>
      <c r="N3" s="61" t="n"/>
      <c r="O3" s="61" t="n"/>
      <c r="P3" s="64" t="n"/>
    </row>
    <row r="4" ht="16.5" customHeight="1" s="51">
      <c r="A4" s="6" t="n">
        <v>1</v>
      </c>
      <c r="B4" s="7" t="inlineStr">
        <is>
          <t>研發部</t>
        </is>
      </c>
      <c r="C4" s="8" t="inlineStr">
        <is>
          <t>張三</t>
        </is>
      </c>
      <c r="D4" s="9" t="n">
        <v>10000</v>
      </c>
      <c r="E4" s="10" t="n">
        <v>10000</v>
      </c>
      <c r="F4" s="11">
        <f>D4+E4</f>
        <v/>
      </c>
      <c r="G4" s="12" t="n">
        <v>0</v>
      </c>
      <c r="H4" s="10" t="n">
        <v>0</v>
      </c>
      <c r="I4" s="13" t="n">
        <v>0</v>
      </c>
      <c r="J4" s="9" t="n">
        <v>375</v>
      </c>
      <c r="K4" s="10">
        <f>F4*0.12</f>
        <v/>
      </c>
      <c r="L4" s="11">
        <f>J4+K4</f>
        <v/>
      </c>
      <c r="M4" s="12" t="n">
        <v>1200</v>
      </c>
      <c r="N4" s="10" t="n">
        <v>440</v>
      </c>
      <c r="O4" s="10">
        <f>F4-I4-L4-M4+N4</f>
        <v/>
      </c>
      <c r="P4" s="14" t="inlineStr">
        <is>
          <t>出差一天</t>
        </is>
      </c>
    </row>
    <row r="5" ht="16.5" customHeight="1" s="51">
      <c r="A5" s="15" t="n">
        <v>2</v>
      </c>
      <c r="B5" s="16" t="n"/>
      <c r="C5" s="17" t="n"/>
      <c r="D5" s="18" t="n"/>
      <c r="E5" s="19" t="n"/>
      <c r="F5" s="11">
        <f>D5+E5</f>
        <v/>
      </c>
      <c r="G5" s="20" t="n"/>
      <c r="H5" s="19" t="n"/>
      <c r="I5" s="21" t="n"/>
      <c r="J5" s="18" t="n"/>
      <c r="K5" s="19" t="n"/>
      <c r="L5" s="11">
        <f>J5+K5</f>
        <v/>
      </c>
      <c r="M5" s="20" t="n"/>
      <c r="N5" s="19" t="n"/>
      <c r="O5" s="10">
        <f>F5-I5-L5-M5+N5</f>
        <v/>
      </c>
      <c r="P5" s="22" t="n"/>
    </row>
    <row r="6" ht="16.5" customHeight="1" s="51">
      <c r="A6" s="15" t="n">
        <v>3</v>
      </c>
      <c r="B6" s="16" t="n"/>
      <c r="C6" s="17" t="n"/>
      <c r="D6" s="18" t="n"/>
      <c r="E6" s="19" t="n"/>
      <c r="F6" s="11">
        <f>D6+E6</f>
        <v/>
      </c>
      <c r="G6" s="20" t="n"/>
      <c r="H6" s="19" t="n"/>
      <c r="I6" s="21" t="n"/>
      <c r="J6" s="18" t="n"/>
      <c r="K6" s="19" t="n"/>
      <c r="L6" s="11">
        <f>J6+K6</f>
        <v/>
      </c>
      <c r="M6" s="20" t="n"/>
      <c r="N6" s="19" t="n"/>
      <c r="O6" s="10">
        <f>F6-I6-L6-M6+N6</f>
        <v/>
      </c>
      <c r="P6" s="22" t="n"/>
    </row>
    <row r="7" ht="16.5" customHeight="1" s="51">
      <c r="A7" s="15" t="n">
        <v>4</v>
      </c>
      <c r="B7" s="16" t="n"/>
      <c r="C7" s="17" t="n"/>
      <c r="D7" s="18" t="n"/>
      <c r="E7" s="19" t="n"/>
      <c r="F7" s="11">
        <f>D7+E7</f>
        <v/>
      </c>
      <c r="G7" s="20" t="n"/>
      <c r="H7" s="19" t="n"/>
      <c r="I7" s="21" t="n"/>
      <c r="J7" s="18" t="n"/>
      <c r="K7" s="19" t="n"/>
      <c r="L7" s="11">
        <f>J7+K7</f>
        <v/>
      </c>
      <c r="M7" s="20" t="n"/>
      <c r="N7" s="19" t="n"/>
      <c r="O7" s="10">
        <f>F7-I7-L7-M7+N7</f>
        <v/>
      </c>
      <c r="P7" s="22" t="n"/>
    </row>
    <row r="8" ht="16.5" customHeight="1" s="51">
      <c r="A8" s="15" t="n">
        <v>5</v>
      </c>
      <c r="B8" s="16" t="n"/>
      <c r="C8" s="17" t="n"/>
      <c r="D8" s="18" t="n"/>
      <c r="E8" s="19" t="n"/>
      <c r="F8" s="11">
        <f>D8+E8</f>
        <v/>
      </c>
      <c r="G8" s="20" t="n"/>
      <c r="H8" s="19" t="n"/>
      <c r="I8" s="21" t="n"/>
      <c r="J8" s="18" t="n"/>
      <c r="K8" s="19" t="n"/>
      <c r="L8" s="11">
        <f>J8+K8</f>
        <v/>
      </c>
      <c r="M8" s="20" t="n"/>
      <c r="N8" s="19" t="n"/>
      <c r="O8" s="10">
        <f>F8-I8-L8-M8+N8</f>
        <v/>
      </c>
      <c r="P8" s="22" t="n"/>
    </row>
    <row r="9" ht="16.5" customHeight="1" s="51">
      <c r="A9" s="15" t="n">
        <v>6</v>
      </c>
      <c r="B9" s="16" t="n"/>
      <c r="C9" s="17" t="n"/>
      <c r="D9" s="18" t="n"/>
      <c r="E9" s="19" t="n"/>
      <c r="F9" s="11">
        <f>D9+E9</f>
        <v/>
      </c>
      <c r="G9" s="20" t="n"/>
      <c r="H9" s="19" t="n"/>
      <c r="I9" s="21" t="n"/>
      <c r="J9" s="18" t="n"/>
      <c r="K9" s="19" t="n"/>
      <c r="L9" s="11">
        <f>J9+K9</f>
        <v/>
      </c>
      <c r="M9" s="20" t="n"/>
      <c r="N9" s="19" t="n"/>
      <c r="O9" s="10">
        <f>F9-I9-L9-M9+N9</f>
        <v/>
      </c>
      <c r="P9" s="22" t="n"/>
    </row>
    <row r="10" ht="16.5" customHeight="1" s="51">
      <c r="A10" s="15" t="n">
        <v>7</v>
      </c>
      <c r="B10" s="16" t="n"/>
      <c r="C10" s="17" t="n"/>
      <c r="D10" s="18" t="n"/>
      <c r="E10" s="19" t="n"/>
      <c r="F10" s="11">
        <f>D10+E10</f>
        <v/>
      </c>
      <c r="G10" s="20" t="n"/>
      <c r="H10" s="19" t="n"/>
      <c r="I10" s="21" t="n"/>
      <c r="J10" s="18" t="n"/>
      <c r="K10" s="19" t="n"/>
      <c r="L10" s="11">
        <f>J10+K10</f>
        <v/>
      </c>
      <c r="M10" s="20" t="n"/>
      <c r="N10" s="19" t="n"/>
      <c r="O10" s="10">
        <f>F10-I10-L10-M10+N10</f>
        <v/>
      </c>
      <c r="P10" s="22" t="n"/>
    </row>
    <row r="11" ht="16.5" customHeight="1" s="51">
      <c r="A11" s="23" t="n">
        <v>8</v>
      </c>
      <c r="B11" s="16" t="n"/>
      <c r="C11" s="17" t="n"/>
      <c r="D11" s="18" t="n"/>
      <c r="E11" s="19" t="n"/>
      <c r="F11" s="11">
        <f>D11+E11</f>
        <v/>
      </c>
      <c r="G11" s="20" t="n"/>
      <c r="H11" s="19" t="n"/>
      <c r="I11" s="21" t="n"/>
      <c r="J11" s="18" t="n"/>
      <c r="K11" s="19" t="n"/>
      <c r="L11" s="11">
        <f>J11+K11</f>
        <v/>
      </c>
      <c r="M11" s="20" t="n"/>
      <c r="N11" s="19" t="n"/>
      <c r="O11" s="10">
        <f>F11-I11-L11-M11+N11</f>
        <v/>
      </c>
      <c r="P11" s="22" t="n"/>
    </row>
    <row r="12" ht="16.5" customHeight="1" s="51">
      <c r="A12" s="15" t="n">
        <v>9</v>
      </c>
      <c r="B12" s="16" t="n"/>
      <c r="C12" s="17" t="n"/>
      <c r="D12" s="18" t="n"/>
      <c r="E12" s="19" t="n"/>
      <c r="F12" s="11">
        <f>D12+E12</f>
        <v/>
      </c>
      <c r="G12" s="20" t="n"/>
      <c r="H12" s="19" t="n"/>
      <c r="I12" s="21" t="n"/>
      <c r="J12" s="18" t="n"/>
      <c r="K12" s="19" t="n"/>
      <c r="L12" s="11">
        <f>J12+K12</f>
        <v/>
      </c>
      <c r="M12" s="20" t="n"/>
      <c r="N12" s="19" t="n"/>
      <c r="O12" s="10">
        <f>F12-I12-L12-M12+N12</f>
        <v/>
      </c>
      <c r="P12" s="22" t="n"/>
    </row>
    <row r="13" ht="16.5" customHeight="1" s="51">
      <c r="A13" s="15" t="n">
        <v>10</v>
      </c>
      <c r="B13" s="16" t="n"/>
      <c r="C13" s="17" t="n"/>
      <c r="D13" s="18" t="n"/>
      <c r="E13" s="19" t="n"/>
      <c r="F13" s="11">
        <f>D13+E13</f>
        <v/>
      </c>
      <c r="G13" s="20" t="n"/>
      <c r="H13" s="19" t="n"/>
      <c r="I13" s="21" t="n"/>
      <c r="J13" s="18" t="n"/>
      <c r="K13" s="19" t="n"/>
      <c r="L13" s="11">
        <f>J13+K13</f>
        <v/>
      </c>
      <c r="M13" s="20" t="n"/>
      <c r="N13" s="19" t="n"/>
      <c r="O13" s="10">
        <f>F13-I13-L13-M13+N13</f>
        <v/>
      </c>
      <c r="P13" s="22" t="n"/>
    </row>
    <row r="14" ht="17.25" customHeight="1" s="51" thickBot="1">
      <c r="A14" s="65" t="inlineStr">
        <is>
          <t>合計</t>
        </is>
      </c>
      <c r="B14" s="66" t="n"/>
      <c r="C14" s="67" t="n"/>
      <c r="D14" s="24">
        <f>SUM(D4:D13)</f>
        <v/>
      </c>
      <c r="E14" s="25">
        <f>SUM(E4:E13)</f>
        <v/>
      </c>
      <c r="F14" s="26">
        <f>SUM(F4:F13)</f>
        <v/>
      </c>
      <c r="G14" s="27">
        <f>SUM(G4:G13)</f>
        <v/>
      </c>
      <c r="H14" s="25">
        <f>SUM(H4:H13)</f>
        <v/>
      </c>
      <c r="I14" s="28">
        <f>SUM(I4:I13)</f>
        <v/>
      </c>
      <c r="J14" s="24">
        <f>SUM(J4:J13)</f>
        <v/>
      </c>
      <c r="K14" s="25">
        <f>SUM(K4:K13)</f>
        <v/>
      </c>
      <c r="L14" s="29">
        <f>SUM(L4:L13)</f>
        <v/>
      </c>
      <c r="M14" s="27">
        <f>SUM(M4:M13)</f>
        <v/>
      </c>
      <c r="N14" s="25">
        <f>SUM(N4:N13)</f>
        <v/>
      </c>
      <c r="O14" s="25">
        <f>SUM(O4:O13)</f>
        <v/>
      </c>
      <c r="P14" s="30" t="n"/>
    </row>
    <row r="15" ht="16.5" customHeight="1" s="51">
      <c r="A15" s="37" t="inlineStr">
        <is>
          <t>批准人：</t>
        </is>
      </c>
      <c r="C15" s="31" t="n"/>
      <c r="D15" s="31" t="n"/>
      <c r="E15" s="37" t="n"/>
      <c r="G15" s="31" t="inlineStr">
        <is>
          <t>財務負責人：</t>
        </is>
      </c>
      <c r="H15" s="31" t="n"/>
      <c r="I15" s="31" t="n"/>
      <c r="J15" s="31" t="n"/>
      <c r="K15" s="31" t="n"/>
      <c r="L15" s="31" t="n"/>
      <c r="M15" s="31" t="inlineStr">
        <is>
          <t>製錶人：</t>
        </is>
      </c>
      <c r="N15" s="31" t="n"/>
      <c r="O15" s="31" t="n"/>
      <c r="P15" s="31" t="n"/>
    </row>
  </sheetData>
  <mergeCells count="14">
    <mergeCell ref="D2:F2"/>
    <mergeCell ref="G2:I2"/>
    <mergeCell ref="J2:L2"/>
    <mergeCell ref="A15:B15"/>
    <mergeCell ref="E15:F15"/>
    <mergeCell ref="A1:P1"/>
    <mergeCell ref="A14:C14"/>
    <mergeCell ref="O2:O3"/>
    <mergeCell ref="M2:M3"/>
    <mergeCell ref="A2:A3"/>
    <mergeCell ref="B2:B3"/>
    <mergeCell ref="N2:N3"/>
    <mergeCell ref="C2:C3"/>
    <mergeCell ref="P2:P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2019-02-18T08:33:13Z</dcterms:created>
  <dcterms:modified xsi:type="dcterms:W3CDTF">2025-07-21T10:01:06Z</dcterms:modified>
  <cp:lastModifiedBy/>
</cp:coreProperties>
</file>