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19200" windowHeight="7310" tabRatio="600" firstSheet="4" activeTab="8" autoFilterDateGrouping="1"/>
  </bookViews>
  <sheets>
    <sheet name="預計資金流量表" sheetId="1" state="visible" r:id="rId1"/>
    <sheet name="主營成本支出現金預算表" sheetId="2" state="visible" r:id="rId2"/>
    <sheet name="管理費用現金預算表" sheetId="3" state="visible" r:id="rId3"/>
    <sheet name="銷售費用現金預算表" sheetId="4" state="visible" r:id="rId4"/>
    <sheet name="稅費支出現金預算表" sheetId="5" state="visible" r:id="rId5"/>
    <sheet name="投資收回現金預算表" sheetId="6" state="visible" r:id="rId6"/>
    <sheet name="購置非流動資產支出現金預算表" sheetId="7" state="visible" r:id="rId7"/>
    <sheet name="投資支出" sheetId="8" state="visible" r:id="rId8"/>
    <sheet name="財務費用" sheetId="9" state="visible" r:id="rId9"/>
  </sheets>
  <definedNames>
    <definedName name="pbPrinterFormat">"\\nhkgc040pps1\PHKG00311 on Ne03:"</definedName>
  </definedNames>
  <calcPr calcId="152511" fullCalcOnLoad="1"/>
</workbook>
</file>

<file path=xl/styles.xml><?xml version="1.0" encoding="utf-8"?>
<styleSheet xmlns="http://schemas.openxmlformats.org/spreadsheetml/2006/main">
  <numFmts count="10">
    <numFmt numFmtId="164" formatCode="0_ "/>
    <numFmt numFmtId="165" formatCode="#,##0.00_ "/>
    <numFmt numFmtId="166" formatCode="_ * #,##0_ ;_ * \-#,##0_ ;_ * &quot;-&quot;??_ ;_ @_ "/>
    <numFmt numFmtId="167" formatCode="0_);[Red]\(0\)"/>
    <numFmt numFmtId="168" formatCode="0.00_ "/>
    <numFmt numFmtId="169" formatCode="yyyy&quot;年&quot;m&quot;月&quot;;@"/>
    <numFmt numFmtId="170" formatCode="m&quot;月&quot;"/>
    <numFmt numFmtId="171" formatCode="0.0%"/>
    <numFmt numFmtId="172" formatCode="_ * #,##0.00_ ;_ * \-#,##0.00_ ;_ * &quot;-&quot;??_ ;_ @_ "/>
    <numFmt numFmtId="173" formatCode="#,##0.00\ "/>
  </numFmts>
  <fonts count="14">
    <font>
      <name val="宋体"/>
      <charset val="134"/>
      <family val="2"/>
      <color theme="1"/>
      <sz val="11"/>
      <scheme val="minor"/>
    </font>
    <font>
      <name val="宋体"/>
      <charset val="134"/>
      <family val="3"/>
      <sz val="12"/>
    </font>
    <font>
      <name val="微软雅黑"/>
      <charset val="134"/>
      <family val="2"/>
      <sz val="10"/>
    </font>
    <font>
      <name val="微软雅黑"/>
      <charset val="134"/>
      <family val="2"/>
      <sz val="18"/>
    </font>
    <font>
      <name val="微软雅黑"/>
      <charset val="134"/>
      <family val="2"/>
      <b val="1"/>
      <sz val="10"/>
    </font>
    <font>
      <name val="微软雅黑"/>
      <charset val="134"/>
      <family val="2"/>
      <color indexed="12"/>
      <sz val="10"/>
      <u val="single"/>
    </font>
    <font>
      <name val="微软雅黑"/>
      <charset val="134"/>
      <family val="2"/>
      <i val="1"/>
      <sz val="10"/>
    </font>
    <font>
      <name val="宋体"/>
      <charset val="134"/>
      <family val="2"/>
      <b val="1"/>
      <sz val="10"/>
      <scheme val="minor"/>
    </font>
    <font>
      <name val="宋体"/>
      <charset val="134"/>
      <family val="2"/>
      <sz val="10"/>
      <scheme val="minor"/>
    </font>
    <font>
      <name val="宋体"/>
      <charset val="134"/>
      <family val="2"/>
      <sz val="9"/>
      <scheme val="minor"/>
    </font>
    <font>
      <name val="微软雅黑"/>
      <charset val="134"/>
      <family val="2"/>
      <color indexed="8"/>
      <sz val="10"/>
    </font>
    <font>
      <name val="微软雅黑"/>
      <charset val="134"/>
      <family val="2"/>
      <b val="1"/>
      <color indexed="8"/>
      <sz val="10"/>
    </font>
    <font>
      <name val="宋体"/>
      <charset val="134"/>
      <family val="3"/>
      <sz val="10"/>
    </font>
    <font>
      <name val="宋体"/>
      <charset val="134"/>
      <family val="3"/>
      <b val="1"/>
      <sz val="12"/>
    </font>
  </fonts>
  <fills count="3">
    <fill>
      <patternFill/>
    </fill>
    <fill>
      <patternFill patternType="gray125"/>
    </fill>
    <fill>
      <patternFill patternType="solid">
        <fgColor rgb="FFF2F2F2"/>
        <bgColor indexed="64"/>
      </patternFill>
    </fill>
  </fills>
  <borders count="130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/>
      <top style="dotted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/>
      <right/>
      <top/>
      <bottom style="double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double">
        <color auto="1"/>
      </bottom>
      <diagonal/>
    </border>
    <border>
      <left/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/>
      <top/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dotted">
        <color auto="1"/>
      </right>
      <top/>
      <bottom/>
      <diagonal/>
    </border>
    <border>
      <left style="medium">
        <color auto="1"/>
      </left>
      <right style="dotted">
        <color auto="1"/>
      </right>
      <top/>
      <bottom style="double">
        <color auto="1"/>
      </bottom>
      <diagonal/>
    </border>
    <border>
      <left style="dotted">
        <color auto="1"/>
      </left>
      <right style="dotted">
        <color auto="1"/>
      </right>
      <top/>
      <bottom style="double">
        <color auto="1"/>
      </bottom>
      <diagonal/>
    </border>
  </borders>
  <cellStyleXfs count="1">
    <xf numFmtId="0" fontId="0" fillId="0" borderId="0" applyAlignment="1">
      <alignment vertical="center"/>
    </xf>
  </cellStyleXfs>
  <cellXfs count="758">
    <xf numFmtId="0" fontId="0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vertical="center"/>
    </xf>
    <xf numFmtId="164" fontId="1" fillId="0" borderId="0" applyAlignment="1" pivotButton="0" quotePrefix="0" xfId="0">
      <alignment vertical="center"/>
    </xf>
    <xf numFmtId="164" fontId="1" fillId="0" borderId="0" applyAlignment="1" pivotButton="0" quotePrefix="0" xfId="0">
      <alignment horizontal="center" vertical="center"/>
    </xf>
    <xf numFmtId="3" fontId="1" fillId="0" borderId="0" applyAlignment="1" pivotButton="0" quotePrefix="0" xfId="0">
      <alignment horizontal="center" vertical="center"/>
    </xf>
    <xf numFmtId="3" fontId="1" fillId="0" borderId="0" applyAlignment="1" pivotButton="0" quotePrefix="0" xfId="0">
      <alignment vertical="center"/>
    </xf>
    <xf numFmtId="4" fontId="1" fillId="0" borderId="0" applyAlignment="1" pivotButton="0" quotePrefix="0" xfId="0">
      <alignment vertical="center"/>
    </xf>
    <xf numFmtId="3" fontId="1" fillId="0" borderId="0" applyAlignment="1" pivotButton="0" quotePrefix="0" xfId="0">
      <alignment horizontal="right" vertical="center"/>
    </xf>
    <xf numFmtId="0" fontId="2" fillId="0" borderId="0" pivotButton="0" quotePrefix="0" xfId="0"/>
    <xf numFmtId="164" fontId="2" fillId="0" borderId="1" applyAlignment="1" pivotButton="0" quotePrefix="0" xfId="0">
      <alignment horizontal="centerContinuous" vertical="center"/>
    </xf>
    <xf numFmtId="164" fontId="2" fillId="0" borderId="2" applyAlignment="1" pivotButton="0" quotePrefix="0" xfId="0">
      <alignment horizontal="center" vertical="center"/>
    </xf>
    <xf numFmtId="3" fontId="2" fillId="0" borderId="2" applyAlignment="1" pivotButton="0" quotePrefix="0" xfId="0">
      <alignment horizontal="center" vertical="center"/>
    </xf>
    <xf numFmtId="4" fontId="2" fillId="0" borderId="2" applyAlignment="1" pivotButton="0" quotePrefix="0" xfId="0">
      <alignment horizontal="center" vertical="center"/>
    </xf>
    <xf numFmtId="3" fontId="2" fillId="0" borderId="3" applyAlignment="1" pivotButton="0" quotePrefix="0" xfId="0">
      <alignment horizontal="center" vertical="center"/>
    </xf>
    <xf numFmtId="164" fontId="4" fillId="0" borderId="4" applyAlignment="1" pivotButton="0" quotePrefix="0" xfId="0">
      <alignment horizontal="left" vertical="center"/>
    </xf>
    <xf numFmtId="164" fontId="2" fillId="0" borderId="5" applyAlignment="1" pivotButton="0" quotePrefix="0" xfId="0">
      <alignment horizontal="left" vertical="center"/>
    </xf>
    <xf numFmtId="165" fontId="2" fillId="0" borderId="5" applyAlignment="1" pivotButton="0" quotePrefix="0" xfId="0">
      <alignment horizontal="right" vertical="center"/>
    </xf>
    <xf numFmtId="165" fontId="2" fillId="0" borderId="6" applyAlignment="1" pivotButton="0" quotePrefix="0" xfId="0">
      <alignment horizontal="right" vertical="center"/>
    </xf>
    <xf numFmtId="164" fontId="2" fillId="0" borderId="4" applyAlignment="1" pivotButton="0" quotePrefix="0" xfId="0">
      <alignment horizontal="left" vertical="center"/>
    </xf>
    <xf numFmtId="165" fontId="2" fillId="0" borderId="5" applyAlignment="1" pivotButton="0" quotePrefix="0" xfId="0">
      <alignment horizontal="right" vertical="center" shrinkToFit="1"/>
    </xf>
    <xf numFmtId="165" fontId="2" fillId="0" borderId="5" applyAlignment="1" pivotButton="0" quotePrefix="0" xfId="0">
      <alignment vertical="center" shrinkToFit="1"/>
    </xf>
    <xf numFmtId="165" fontId="2" fillId="0" borderId="6" applyAlignment="1" pivotButton="0" quotePrefix="0" xfId="0">
      <alignment horizontal="center" vertical="center" shrinkToFit="1"/>
    </xf>
    <xf numFmtId="0" fontId="5" fillId="0" borderId="5" applyAlignment="1" pivotButton="0" quotePrefix="0" xfId="0">
      <alignment horizontal="left" vertical="center"/>
    </xf>
    <xf numFmtId="165" fontId="2" fillId="0" borderId="6" applyAlignment="1" pivotButton="0" quotePrefix="0" xfId="0">
      <alignment horizontal="right" vertical="center" shrinkToFit="1"/>
    </xf>
    <xf numFmtId="164" fontId="5" fillId="0" borderId="5" applyAlignment="1" pivotButton="0" quotePrefix="0" xfId="0">
      <alignment horizontal="left" vertical="center"/>
    </xf>
    <xf numFmtId="164" fontId="2" fillId="2" borderId="4" applyAlignment="1" pivotButton="0" quotePrefix="0" xfId="0">
      <alignment horizontal="left" vertical="center"/>
    </xf>
    <xf numFmtId="164" fontId="2" fillId="2" borderId="5" applyAlignment="1" pivotButton="0" quotePrefix="0" xfId="0">
      <alignment horizontal="left" vertical="center"/>
    </xf>
    <xf numFmtId="165" fontId="2" fillId="2" borderId="5" applyAlignment="1" pivotButton="0" quotePrefix="0" xfId="0">
      <alignment horizontal="right" vertical="center" shrinkToFit="1"/>
    </xf>
    <xf numFmtId="165" fontId="2" fillId="2" borderId="6" applyAlignment="1" pivotButton="0" quotePrefix="0" xfId="0">
      <alignment horizontal="right" vertical="center" shrinkToFit="1"/>
    </xf>
    <xf numFmtId="165" fontId="2" fillId="0" borderId="5" applyAlignment="1" pivotButton="0" quotePrefix="0" xfId="0">
      <alignment horizontal="center" vertical="center" shrinkToFit="1"/>
    </xf>
    <xf numFmtId="164" fontId="2" fillId="0" borderId="4" applyAlignment="1" pivotButton="0" quotePrefix="0" xfId="0">
      <alignment vertical="center"/>
    </xf>
    <xf numFmtId="0" fontId="5" fillId="0" borderId="5" applyAlignment="1" pivotButton="0" quotePrefix="0" xfId="0">
      <alignment vertical="center"/>
    </xf>
    <xf numFmtId="164" fontId="5" fillId="0" borderId="5" applyAlignment="1" pivotButton="0" quotePrefix="0" xfId="0">
      <alignment horizontal="left" vertical="center" wrapText="1"/>
    </xf>
    <xf numFmtId="164" fontId="5" fillId="2" borderId="5" applyAlignment="1" pivotButton="0" quotePrefix="0" xfId="0">
      <alignment horizontal="left" vertical="center"/>
    </xf>
    <xf numFmtId="164" fontId="2" fillId="2" borderId="4" applyAlignment="1" pivotButton="0" quotePrefix="0" xfId="0">
      <alignment horizontal="center" vertical="center"/>
    </xf>
    <xf numFmtId="164" fontId="2" fillId="0" borderId="4" applyAlignment="1" pivotButton="0" quotePrefix="0" xfId="0">
      <alignment horizontal="center" vertical="center"/>
    </xf>
    <xf numFmtId="0" fontId="2" fillId="0" borderId="4" applyAlignment="1" pivotButton="0" quotePrefix="0" xfId="0">
      <alignment vertical="center" wrapText="1"/>
    </xf>
    <xf numFmtId="164" fontId="2" fillId="0" borderId="4" applyAlignment="1" pivotButton="0" quotePrefix="0" xfId="0">
      <alignment vertical="center" wrapText="1"/>
    </xf>
    <xf numFmtId="164" fontId="5" fillId="0" borderId="5" applyAlignment="1" pivotButton="0" quotePrefix="0" xfId="0">
      <alignment horizontal="left" vertical="center" wrapText="1" shrinkToFit="1"/>
    </xf>
    <xf numFmtId="164" fontId="2" fillId="2" borderId="4" applyAlignment="1" pivotButton="0" quotePrefix="0" xfId="0">
      <alignment horizontal="centerContinuous" vertical="center"/>
    </xf>
    <xf numFmtId="164" fontId="4" fillId="0" borderId="4" applyAlignment="1" pivotButton="0" quotePrefix="0" xfId="0">
      <alignment vertical="center"/>
    </xf>
    <xf numFmtId="164" fontId="4" fillId="0" borderId="7" applyAlignment="1" pivotButton="0" quotePrefix="0" xfId="0">
      <alignment vertical="center"/>
    </xf>
    <xf numFmtId="164" fontId="2" fillId="0" borderId="8" applyAlignment="1" pivotButton="0" quotePrefix="0" xfId="0">
      <alignment horizontal="left" vertical="center"/>
    </xf>
    <xf numFmtId="165" fontId="2" fillId="0" borderId="8" applyAlignment="1" pivotButton="0" quotePrefix="0" xfId="0">
      <alignment horizontal="right" vertical="center" shrinkToFit="1"/>
    </xf>
    <xf numFmtId="165" fontId="2" fillId="0" borderId="9" applyAlignment="1" pivotButton="0" quotePrefix="0" xfId="0">
      <alignment horizontal="right" vertical="center" shrinkToFit="1"/>
    </xf>
    <xf numFmtId="0" fontId="3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vertical="center"/>
    </xf>
    <xf numFmtId="49" fontId="2" fillId="2" borderId="11" applyAlignment="1" pivotButton="0" quotePrefix="0" xfId="0">
      <alignment horizontal="center" vertical="center"/>
    </xf>
    <xf numFmtId="164" fontId="2" fillId="2" borderId="13" applyAlignment="1" pivotButton="0" quotePrefix="0" xfId="0">
      <alignment horizontal="center" vertical="center" wrapText="1"/>
    </xf>
    <xf numFmtId="164" fontId="2" fillId="2" borderId="15" applyAlignment="1" pivotButton="0" quotePrefix="0" xfId="0">
      <alignment horizontal="center" vertical="center" wrapText="1"/>
    </xf>
    <xf numFmtId="164" fontId="2" fillId="2" borderId="16" applyAlignment="1" pivotButton="0" quotePrefix="0" xfId="0">
      <alignment horizontal="center" vertical="center"/>
    </xf>
    <xf numFmtId="164" fontId="2" fillId="2" borderId="17" applyAlignment="1" pivotButton="0" quotePrefix="0" xfId="0">
      <alignment horizontal="center" vertical="center"/>
    </xf>
    <xf numFmtId="164" fontId="2" fillId="2" borderId="18" applyAlignment="1" pivotButton="0" quotePrefix="0" xfId="0">
      <alignment horizontal="center" vertical="center"/>
    </xf>
    <xf numFmtId="164" fontId="2" fillId="2" borderId="19" applyAlignment="1" pivotButton="0" quotePrefix="0" xfId="0">
      <alignment horizontal="center" vertical="center" wrapText="1"/>
    </xf>
    <xf numFmtId="164" fontId="2" fillId="2" borderId="20" applyAlignment="1" pivotButton="0" quotePrefix="0" xfId="0">
      <alignment horizontal="center" vertical="center" wrapText="1"/>
    </xf>
    <xf numFmtId="49" fontId="2" fillId="2" borderId="23" applyAlignment="1" pivotButton="0" quotePrefix="0" xfId="0">
      <alignment horizontal="center" vertical="center" wrapText="1"/>
    </xf>
    <xf numFmtId="0" fontId="1" fillId="0" borderId="0" pivotButton="0" quotePrefix="0" xfId="0"/>
    <xf numFmtId="166" fontId="2" fillId="2" borderId="24" applyAlignment="1" pivotButton="0" quotePrefix="0" xfId="0">
      <alignment horizontal="center" vertical="center" wrapText="1"/>
    </xf>
    <xf numFmtId="167" fontId="2" fillId="2" borderId="25" applyAlignment="1" pivotButton="0" quotePrefix="0" xfId="0">
      <alignment horizontal="center" vertical="center" wrapText="1"/>
    </xf>
    <xf numFmtId="167" fontId="2" fillId="2" borderId="26" applyAlignment="1" pivotButton="0" quotePrefix="0" xfId="0">
      <alignment horizontal="center" vertical="center" wrapText="1"/>
    </xf>
    <xf numFmtId="166" fontId="2" fillId="2" borderId="27" applyAlignment="1" pivotButton="0" quotePrefix="0" xfId="0">
      <alignment horizontal="center" vertical="center" wrapText="1"/>
    </xf>
    <xf numFmtId="167" fontId="2" fillId="2" borderId="28" applyAlignment="1" pivotButton="0" quotePrefix="0" xfId="0">
      <alignment horizontal="center" vertical="center" wrapText="1"/>
    </xf>
    <xf numFmtId="168" fontId="2" fillId="2" borderId="25" applyAlignment="1" pivotButton="0" quotePrefix="0" xfId="0">
      <alignment horizontal="center" vertical="center" wrapText="1"/>
    </xf>
    <xf numFmtId="168" fontId="2" fillId="2" borderId="28" applyAlignment="1" pivotButton="0" quotePrefix="0" xfId="0">
      <alignment horizontal="center" vertical="center" wrapText="1"/>
    </xf>
    <xf numFmtId="166" fontId="2" fillId="2" borderId="29" applyAlignment="1" pivotButton="0" quotePrefix="0" xfId="0">
      <alignment horizontal="center" vertical="center" wrapText="1"/>
    </xf>
    <xf numFmtId="164" fontId="2" fillId="2" borderId="30" applyAlignment="1" pivotButton="0" quotePrefix="0" xfId="0">
      <alignment horizontal="center" vertical="center" wrapText="1"/>
    </xf>
    <xf numFmtId="164" fontId="2" fillId="2" borderId="31" applyAlignment="1" pivotButton="0" quotePrefix="0" xfId="0">
      <alignment horizontal="center" vertical="center" wrapText="1"/>
    </xf>
    <xf numFmtId="164" fontId="4" fillId="0" borderId="32" applyAlignment="1" pivotButton="0" quotePrefix="0" xfId="0">
      <alignment horizontal="left" vertical="center" wrapText="1"/>
    </xf>
    <xf numFmtId="165" fontId="2" fillId="0" borderId="33" applyAlignment="1" pivotButton="0" quotePrefix="0" xfId="0">
      <alignment horizontal="right" vertical="center" wrapText="1"/>
    </xf>
    <xf numFmtId="165" fontId="2" fillId="0" borderId="34" applyAlignment="1" pivotButton="0" quotePrefix="0" xfId="0">
      <alignment horizontal="right" vertical="center" wrapText="1"/>
    </xf>
    <xf numFmtId="165" fontId="2" fillId="0" borderId="35" applyAlignment="1" pivotButton="0" quotePrefix="0" xfId="0">
      <alignment vertical="center"/>
    </xf>
    <xf numFmtId="165" fontId="2" fillId="0" borderId="36" applyAlignment="1" pivotButton="0" quotePrefix="0" xfId="0">
      <alignment vertical="center"/>
    </xf>
    <xf numFmtId="49" fontId="2" fillId="0" borderId="37" applyAlignment="1" pivotButton="0" quotePrefix="0" xfId="0">
      <alignment horizontal="left" vertical="center" wrapText="1" indent="1"/>
    </xf>
    <xf numFmtId="165" fontId="2" fillId="0" borderId="38" applyAlignment="1" pivotButton="0" quotePrefix="0" xfId="0">
      <alignment horizontal="right" vertical="center" wrapText="1"/>
    </xf>
    <xf numFmtId="165" fontId="2" fillId="0" borderId="5" applyAlignment="1" pivotButton="0" quotePrefix="0" xfId="0">
      <alignment horizontal="right" vertical="center" wrapText="1"/>
    </xf>
    <xf numFmtId="165" fontId="2" fillId="0" borderId="5" applyAlignment="1" pivotButton="0" quotePrefix="0" xfId="0">
      <alignment vertical="center"/>
    </xf>
    <xf numFmtId="165" fontId="2" fillId="0" borderId="6" applyAlignment="1" pivotButton="0" quotePrefix="0" xfId="0">
      <alignment vertical="center"/>
    </xf>
    <xf numFmtId="49" fontId="2" fillId="0" borderId="37" applyAlignment="1" pivotButton="0" quotePrefix="0" xfId="0">
      <alignment horizontal="left" vertical="center" indent="1"/>
    </xf>
    <xf numFmtId="0" fontId="2" fillId="0" borderId="37" applyAlignment="1" pivotButton="0" quotePrefix="0" xfId="0">
      <alignment horizontal="left" vertical="center" indent="1"/>
    </xf>
    <xf numFmtId="0" fontId="2" fillId="0" borderId="37" applyAlignment="1" applyProtection="1" pivotButton="0" quotePrefix="0" xfId="0">
      <alignment horizontal="left" vertical="center" wrapText="1" indent="1"/>
      <protection locked="0" hidden="0"/>
    </xf>
    <xf numFmtId="0" fontId="2" fillId="0" borderId="39" applyAlignment="1" pivotButton="0" quotePrefix="0" xfId="0">
      <alignment horizontal="left" vertical="center" indent="1"/>
    </xf>
    <xf numFmtId="164" fontId="6" fillId="2" borderId="40" applyAlignment="1" pivotButton="0" quotePrefix="0" xfId="0">
      <alignment horizontal="center" vertical="center" wrapText="1"/>
    </xf>
    <xf numFmtId="165" fontId="2" fillId="2" borderId="41" applyAlignment="1" pivotButton="0" quotePrefix="0" xfId="0">
      <alignment horizontal="right" vertical="center" wrapText="1"/>
    </xf>
    <xf numFmtId="165" fontId="2" fillId="2" borderId="42" applyAlignment="1" pivotButton="0" quotePrefix="0" xfId="0">
      <alignment horizontal="right" vertical="center" wrapText="1"/>
    </xf>
    <xf numFmtId="165" fontId="2" fillId="2" borderId="42" applyAlignment="1" pivotButton="0" quotePrefix="0" xfId="0">
      <alignment vertical="center"/>
    </xf>
    <xf numFmtId="165" fontId="2" fillId="2" borderId="43" applyAlignment="1" pivotButton="0" quotePrefix="0" xfId="0">
      <alignment vertical="center"/>
    </xf>
    <xf numFmtId="165" fontId="2" fillId="0" borderId="34" applyAlignment="1" pivotButton="0" quotePrefix="0" xfId="0">
      <alignment horizontal="right" vertical="center"/>
    </xf>
    <xf numFmtId="165" fontId="2" fillId="0" borderId="34" applyAlignment="1" pivotButton="0" quotePrefix="0" xfId="0">
      <alignment vertical="center"/>
    </xf>
    <xf numFmtId="165" fontId="2" fillId="0" borderId="44" applyAlignment="1" pivotButton="0" quotePrefix="0" xfId="0">
      <alignment vertical="center"/>
    </xf>
    <xf numFmtId="165" fontId="2" fillId="2" borderId="42" applyAlignment="1" pivotButton="0" quotePrefix="0" xfId="0">
      <alignment horizontal="right" vertical="center"/>
    </xf>
    <xf numFmtId="165" fontId="2" fillId="2" borderId="38" applyAlignment="1" pivotButton="0" quotePrefix="0" xfId="0">
      <alignment horizontal="right" vertical="center" wrapText="1"/>
    </xf>
    <xf numFmtId="165" fontId="2" fillId="2" borderId="5" applyAlignment="1" pivotButton="0" quotePrefix="0" xfId="0">
      <alignment horizontal="right" vertical="center" wrapText="1"/>
    </xf>
    <xf numFmtId="165" fontId="2" fillId="2" borderId="5" applyAlignment="1" pivotButton="0" quotePrefix="0" xfId="0">
      <alignment horizontal="right" vertical="center"/>
    </xf>
    <xf numFmtId="165" fontId="2" fillId="2" borderId="5" applyAlignment="1" pivotButton="0" quotePrefix="0" xfId="0">
      <alignment vertical="center"/>
    </xf>
    <xf numFmtId="165" fontId="2" fillId="2" borderId="6" applyAlignment="1" pivotButton="0" quotePrefix="0" xfId="0">
      <alignment vertical="center"/>
    </xf>
    <xf numFmtId="164" fontId="4" fillId="0" borderId="45" applyAlignment="1" pivotButton="0" quotePrefix="0" xfId="0">
      <alignment horizontal="center" vertical="center"/>
    </xf>
    <xf numFmtId="165" fontId="2" fillId="0" borderId="46" applyAlignment="1" pivotButton="0" quotePrefix="0" xfId="0">
      <alignment vertical="center"/>
    </xf>
    <xf numFmtId="165" fontId="2" fillId="0" borderId="8" applyAlignment="1" pivotButton="0" quotePrefix="0" xfId="0">
      <alignment vertical="center"/>
    </xf>
    <xf numFmtId="165" fontId="2" fillId="0" borderId="9" applyAlignment="1" pivotButton="0" quotePrefix="0" xfId="0">
      <alignment vertical="center"/>
    </xf>
    <xf numFmtId="0" fontId="1" fillId="0" borderId="47" pivotButton="0" quotePrefix="0" xfId="0"/>
    <xf numFmtId="164" fontId="2" fillId="2" borderId="10" applyAlignment="1" pivotButton="0" quotePrefix="0" xfId="0">
      <alignment horizontal="center" vertical="center" wrapText="1"/>
    </xf>
    <xf numFmtId="169" fontId="2" fillId="2" borderId="12" applyAlignment="1" pivotButton="0" quotePrefix="0" xfId="0">
      <alignment horizontal="center" vertical="center" wrapText="1"/>
    </xf>
    <xf numFmtId="169" fontId="2" fillId="2" borderId="48" applyAlignment="1" pivotButton="0" quotePrefix="0" xfId="0">
      <alignment horizontal="center" vertical="center" wrapText="1"/>
    </xf>
    <xf numFmtId="164" fontId="2" fillId="2" borderId="49" applyAlignment="1" pivotButton="0" quotePrefix="0" xfId="0">
      <alignment horizontal="center" vertical="center"/>
    </xf>
    <xf numFmtId="170" fontId="2" fillId="2" borderId="50" applyAlignment="1" pivotButton="0" quotePrefix="0" xfId="0">
      <alignment horizontal="center" vertical="center" wrapText="1"/>
    </xf>
    <xf numFmtId="170" fontId="2" fillId="2" borderId="51" applyAlignment="1" pivotButton="0" quotePrefix="0" xfId="0">
      <alignment horizontal="center" vertical="center" wrapText="1"/>
    </xf>
    <xf numFmtId="164" fontId="2" fillId="2" borderId="52" applyAlignment="1" pivotButton="0" quotePrefix="0" xfId="0">
      <alignment horizontal="center" vertical="center"/>
    </xf>
    <xf numFmtId="170" fontId="2" fillId="2" borderId="53" applyAlignment="1" pivotButton="0" quotePrefix="0" xfId="0">
      <alignment horizontal="center" vertical="center" wrapText="1"/>
    </xf>
    <xf numFmtId="4" fontId="2" fillId="2" borderId="54" applyAlignment="1" pivotButton="0" quotePrefix="0" xfId="0">
      <alignment horizontal="center" vertical="center" wrapText="1"/>
    </xf>
    <xf numFmtId="4" fontId="2" fillId="2" borderId="19" applyAlignment="1" pivotButton="0" quotePrefix="0" xfId="0">
      <alignment horizontal="center" vertical="center" wrapText="1"/>
    </xf>
    <xf numFmtId="164" fontId="2" fillId="2" borderId="22" applyAlignment="1" pivotButton="0" quotePrefix="0" xfId="0">
      <alignment horizontal="center" vertical="center" wrapText="1"/>
    </xf>
    <xf numFmtId="3" fontId="4" fillId="0" borderId="55" applyAlignment="1" pivotButton="0" quotePrefix="0" xfId="0">
      <alignment horizontal="left" vertical="center"/>
    </xf>
    <xf numFmtId="169" fontId="2" fillId="0" borderId="56" applyAlignment="1" pivotButton="0" quotePrefix="0" xfId="0">
      <alignment horizontal="left" vertical="center"/>
    </xf>
    <xf numFmtId="165" fontId="2" fillId="0" borderId="57" applyAlignment="1" pivotButton="0" quotePrefix="0" xfId="0">
      <alignment horizontal="center" vertical="center"/>
    </xf>
    <xf numFmtId="165" fontId="2" fillId="0" borderId="58" applyAlignment="1" pivotButton="0" quotePrefix="0" xfId="0">
      <alignment horizontal="center" vertical="center"/>
    </xf>
    <xf numFmtId="165" fontId="2" fillId="0" borderId="59" applyAlignment="1" pivotButton="0" quotePrefix="0" xfId="0">
      <alignment horizontal="center" vertical="center"/>
    </xf>
    <xf numFmtId="165" fontId="2" fillId="0" borderId="60" applyAlignment="1" pivotButton="0" quotePrefix="0" xfId="0">
      <alignment horizontal="center" vertical="center"/>
    </xf>
    <xf numFmtId="165" fontId="2" fillId="0" borderId="56" applyAlignment="1" pivotButton="0" quotePrefix="0" xfId="0">
      <alignment horizontal="center" vertical="center"/>
    </xf>
    <xf numFmtId="4" fontId="2" fillId="0" borderId="59" applyAlignment="1" pivotButton="0" quotePrefix="0" xfId="0">
      <alignment horizontal="center" vertical="center"/>
    </xf>
    <xf numFmtId="171" fontId="2" fillId="0" borderId="59" applyAlignment="1" pivotButton="0" quotePrefix="0" xfId="0">
      <alignment horizontal="center" vertical="center"/>
    </xf>
    <xf numFmtId="164" fontId="2" fillId="0" borderId="61" applyAlignment="1" pivotButton="0" quotePrefix="0" xfId="0">
      <alignment vertical="center"/>
    </xf>
    <xf numFmtId="3" fontId="2" fillId="0" borderId="62" applyAlignment="1" pivotButton="0" quotePrefix="0" xfId="0">
      <alignment horizontal="left" vertical="center" indent="1"/>
    </xf>
    <xf numFmtId="169" fontId="10" fillId="0" borderId="63" applyAlignment="1" applyProtection="1" pivotButton="0" quotePrefix="0" xfId="0">
      <alignment horizontal="left" vertical="center" shrinkToFit="1"/>
      <protection locked="0" hidden="1"/>
    </xf>
    <xf numFmtId="165" fontId="10" fillId="0" borderId="64" applyAlignment="1" applyProtection="1" pivotButton="0" quotePrefix="0" xfId="0">
      <alignment horizontal="center" vertical="center" shrinkToFit="1"/>
      <protection locked="0" hidden="1"/>
    </xf>
    <xf numFmtId="165" fontId="2" fillId="0" borderId="65" applyAlignment="1" applyProtection="1" pivotButton="0" quotePrefix="0" xfId="0">
      <alignment vertical="center"/>
      <protection locked="0" hidden="0"/>
    </xf>
    <xf numFmtId="165" fontId="2" fillId="0" borderId="66" applyAlignment="1" applyProtection="1" pivotButton="0" quotePrefix="0" xfId="0">
      <alignment vertical="center"/>
      <protection locked="0" hidden="0"/>
    </xf>
    <xf numFmtId="165" fontId="2" fillId="0" borderId="64" applyAlignment="1" applyProtection="1" pivotButton="0" quotePrefix="0" xfId="0">
      <alignment vertical="center"/>
      <protection locked="0" hidden="0"/>
    </xf>
    <xf numFmtId="4" fontId="2" fillId="0" borderId="65" applyAlignment="1" pivotButton="0" quotePrefix="0" xfId="0">
      <alignment horizontal="right" vertical="center"/>
    </xf>
    <xf numFmtId="4" fontId="2" fillId="0" borderId="65" applyAlignment="1" applyProtection="1" pivotButton="0" quotePrefix="0" xfId="0">
      <alignment vertical="center"/>
      <protection locked="0" hidden="0"/>
    </xf>
    <xf numFmtId="164" fontId="2" fillId="0" borderId="67" applyAlignment="1" pivotButton="0" quotePrefix="0" xfId="0">
      <alignment vertical="center"/>
    </xf>
    <xf numFmtId="3" fontId="2" fillId="0" borderId="62" applyAlignment="1" pivotButton="0" quotePrefix="0" xfId="0">
      <alignment horizontal="left" vertical="center" indent="2"/>
    </xf>
    <xf numFmtId="3" fontId="2" fillId="0" borderId="62" applyAlignment="1" pivotButton="0" quotePrefix="0" xfId="0">
      <alignment horizontal="left" vertical="center" indent="3"/>
    </xf>
    <xf numFmtId="3" fontId="2" fillId="0" borderId="62" applyAlignment="1" pivotButton="0" quotePrefix="0" xfId="0">
      <alignment horizontal="left" vertical="center"/>
    </xf>
    <xf numFmtId="165" fontId="2" fillId="0" borderId="65" applyAlignment="1" pivotButton="0" quotePrefix="0" xfId="0">
      <alignment vertical="center"/>
    </xf>
    <xf numFmtId="165" fontId="2" fillId="0" borderId="66" applyAlignment="1" pivotButton="0" quotePrefix="0" xfId="0">
      <alignment vertical="center"/>
    </xf>
    <xf numFmtId="165" fontId="2" fillId="0" borderId="64" applyAlignment="1" pivotButton="0" quotePrefix="0" xfId="0">
      <alignment vertical="center"/>
    </xf>
    <xf numFmtId="169" fontId="6" fillId="0" borderId="63" applyAlignment="1" pivotButton="0" quotePrefix="0" xfId="0">
      <alignment horizontal="center" vertical="center"/>
    </xf>
    <xf numFmtId="4" fontId="2" fillId="0" borderId="65" applyAlignment="1" pivotButton="0" quotePrefix="0" xfId="0">
      <alignment vertical="center"/>
    </xf>
    <xf numFmtId="169" fontId="10" fillId="0" borderId="63" applyAlignment="1" applyProtection="1" pivotButton="0" quotePrefix="0" xfId="0">
      <alignment horizontal="left" vertical="center"/>
      <protection locked="0" hidden="1"/>
    </xf>
    <xf numFmtId="169" fontId="2" fillId="0" borderId="63" applyAlignment="1" pivotButton="0" quotePrefix="0" xfId="0">
      <alignment vertical="center"/>
    </xf>
    <xf numFmtId="3" fontId="2" fillId="0" borderId="68" applyAlignment="1" pivotButton="0" quotePrefix="0" xfId="0">
      <alignment horizontal="left" vertical="center"/>
    </xf>
    <xf numFmtId="169" fontId="10" fillId="0" borderId="69" applyAlignment="1" applyProtection="1" pivotButton="0" quotePrefix="0" xfId="0">
      <alignment horizontal="left" vertical="center"/>
      <protection locked="0" hidden="1"/>
    </xf>
    <xf numFmtId="165" fontId="10" fillId="0" borderId="70" applyAlignment="1" applyProtection="1" pivotButton="0" quotePrefix="0" xfId="0">
      <alignment horizontal="center" vertical="center" shrinkToFit="1"/>
      <protection locked="0" hidden="1"/>
    </xf>
    <xf numFmtId="165" fontId="2" fillId="0" borderId="71" applyAlignment="1" applyProtection="1" pivotButton="0" quotePrefix="0" xfId="0">
      <alignment vertical="center"/>
      <protection locked="0" hidden="0"/>
    </xf>
    <xf numFmtId="165" fontId="2" fillId="0" borderId="72" applyAlignment="1" applyProtection="1" pivotButton="0" quotePrefix="0" xfId="0">
      <alignment vertical="center"/>
      <protection locked="0" hidden="0"/>
    </xf>
    <xf numFmtId="165" fontId="2" fillId="0" borderId="14" applyAlignment="1" pivotButton="0" quotePrefix="0" xfId="0">
      <alignment horizontal="center" vertical="center"/>
    </xf>
    <xf numFmtId="165" fontId="2" fillId="0" borderId="73" applyAlignment="1" applyProtection="1" pivotButton="0" quotePrefix="0" xfId="0">
      <alignment vertical="center"/>
      <protection locked="0" hidden="0"/>
    </xf>
    <xf numFmtId="4" fontId="2" fillId="0" borderId="71" applyAlignment="1" pivotButton="0" quotePrefix="0" xfId="0">
      <alignment horizontal="right" vertical="center"/>
    </xf>
    <xf numFmtId="4" fontId="2" fillId="0" borderId="71" applyAlignment="1" applyProtection="1" pivotButton="0" quotePrefix="0" xfId="0">
      <alignment vertical="center"/>
      <protection locked="0" hidden="0"/>
    </xf>
    <xf numFmtId="164" fontId="2" fillId="0" borderId="74" applyAlignment="1" pivotButton="0" quotePrefix="0" xfId="0">
      <alignment vertical="center"/>
    </xf>
    <xf numFmtId="3" fontId="4" fillId="0" borderId="75" applyAlignment="1" pivotButton="0" quotePrefix="0" xfId="0">
      <alignment horizontal="left" vertical="center"/>
    </xf>
    <xf numFmtId="169" fontId="10" fillId="0" borderId="76" applyAlignment="1" applyProtection="1" pivotButton="0" quotePrefix="0" xfId="0">
      <alignment horizontal="left" vertical="center"/>
      <protection locked="0" hidden="1"/>
    </xf>
    <xf numFmtId="165" fontId="10" fillId="0" borderId="57" applyAlignment="1" applyProtection="1" pivotButton="0" quotePrefix="0" xfId="0">
      <alignment horizontal="center" vertical="center" shrinkToFit="1"/>
      <protection locked="0" hidden="1"/>
    </xf>
    <xf numFmtId="165" fontId="2" fillId="0" borderId="77" applyAlignment="1" pivotButton="0" quotePrefix="0" xfId="0">
      <alignment horizontal="center" vertical="center"/>
    </xf>
    <xf numFmtId="165" fontId="2" fillId="0" borderId="78" applyAlignment="1" applyProtection="1" pivotButton="0" quotePrefix="0" xfId="0">
      <alignment vertical="center"/>
      <protection locked="0" hidden="0"/>
    </xf>
    <xf numFmtId="165" fontId="2" fillId="0" borderId="79" applyAlignment="1" applyProtection="1" pivotButton="0" quotePrefix="0" xfId="0">
      <alignment vertical="center"/>
      <protection locked="0" hidden="0"/>
    </xf>
    <xf numFmtId="165" fontId="2" fillId="0" borderId="80" applyAlignment="1" applyProtection="1" pivotButton="0" quotePrefix="0" xfId="0">
      <alignment vertical="center"/>
      <protection locked="0" hidden="0"/>
    </xf>
    <xf numFmtId="165" fontId="2" fillId="0" borderId="76" applyAlignment="1" pivotButton="0" quotePrefix="0" xfId="0">
      <alignment horizontal="center" vertical="center"/>
    </xf>
    <xf numFmtId="4" fontId="2" fillId="0" borderId="78" applyAlignment="1" pivotButton="0" quotePrefix="0" xfId="0">
      <alignment horizontal="right" vertical="center"/>
    </xf>
    <xf numFmtId="4" fontId="2" fillId="0" borderId="78" applyAlignment="1" applyProtection="1" pivotButton="0" quotePrefix="0" xfId="0">
      <alignment vertical="center"/>
      <protection locked="0" hidden="0"/>
    </xf>
    <xf numFmtId="164" fontId="2" fillId="0" borderId="81" applyAlignment="1" pivotButton="0" quotePrefix="0" xfId="0">
      <alignment vertical="center"/>
    </xf>
    <xf numFmtId="165" fontId="2" fillId="0" borderId="82" applyAlignment="1" pivotButton="0" quotePrefix="0" xfId="0">
      <alignment horizontal="center" vertical="center"/>
    </xf>
    <xf numFmtId="165" fontId="2" fillId="0" borderId="63" applyAlignment="1" pivotButton="0" quotePrefix="0" xfId="0">
      <alignment horizontal="center" vertical="center"/>
    </xf>
    <xf numFmtId="169" fontId="6" fillId="0" borderId="63" applyAlignment="1" pivotButton="0" quotePrefix="0" xfId="0">
      <alignment horizontal="centerContinuous" vertical="center"/>
    </xf>
    <xf numFmtId="165" fontId="2" fillId="0" borderId="64" applyAlignment="1" pivotButton="0" quotePrefix="0" xfId="0">
      <alignment horizontal="center" vertical="center"/>
    </xf>
    <xf numFmtId="3" fontId="2" fillId="2" borderId="83" applyAlignment="1" pivotButton="0" quotePrefix="0" xfId="0">
      <alignment horizontal="center" vertical="center"/>
    </xf>
    <xf numFmtId="169" fontId="2" fillId="2" borderId="84" applyAlignment="1" pivotButton="0" quotePrefix="0" xfId="0">
      <alignment horizontal="centerContinuous" vertical="center"/>
    </xf>
    <xf numFmtId="165" fontId="2" fillId="2" borderId="85" applyAlignment="1" pivotButton="0" quotePrefix="0" xfId="0">
      <alignment horizontal="center" vertical="center"/>
    </xf>
    <xf numFmtId="165" fontId="2" fillId="2" borderId="84" applyAlignment="1" pivotButton="0" quotePrefix="0" xfId="0">
      <alignment horizontal="center" vertical="center"/>
    </xf>
    <xf numFmtId="165" fontId="2" fillId="2" borderId="31" applyAlignment="1" pivotButton="0" quotePrefix="0" xfId="0">
      <alignment horizontal="center" vertical="center"/>
    </xf>
    <xf numFmtId="165" fontId="2" fillId="2" borderId="70" applyAlignment="1" pivotButton="0" quotePrefix="0" xfId="0">
      <alignment horizontal="center" vertical="center"/>
    </xf>
    <xf numFmtId="165" fontId="2" fillId="2" borderId="30" applyAlignment="1" pivotButton="0" quotePrefix="0" xfId="0">
      <alignment horizontal="center" vertical="center"/>
    </xf>
    <xf numFmtId="4" fontId="2" fillId="2" borderId="21" applyAlignment="1" pivotButton="0" quotePrefix="0" xfId="0">
      <alignment horizontal="center" vertical="center"/>
    </xf>
    <xf numFmtId="171" fontId="2" fillId="2" borderId="21" applyAlignment="1" pivotButton="0" quotePrefix="0" xfId="0">
      <alignment horizontal="center" vertical="center"/>
    </xf>
    <xf numFmtId="164" fontId="2" fillId="2" borderId="86" applyAlignment="1" pivotButton="0" quotePrefix="0" xfId="0">
      <alignment vertical="center"/>
    </xf>
    <xf numFmtId="3" fontId="2" fillId="0" borderId="87" applyAlignment="1" pivotButton="0" quotePrefix="0" xfId="0">
      <alignment horizontal="left" vertical="center"/>
    </xf>
    <xf numFmtId="169" fontId="2" fillId="0" borderId="88" applyAlignment="1" pivotButton="0" quotePrefix="0" xfId="0">
      <alignment horizontal="centerContinuous" vertical="center"/>
    </xf>
    <xf numFmtId="165" fontId="2" fillId="0" borderId="56" applyAlignment="1" pivotButton="0" quotePrefix="0" xfId="0">
      <alignment horizontal="right" vertical="center"/>
    </xf>
    <xf numFmtId="165" fontId="2" fillId="0" borderId="59" applyAlignment="1" pivotButton="0" quotePrefix="0" xfId="0">
      <alignment vertical="center"/>
    </xf>
    <xf numFmtId="165" fontId="2" fillId="0" borderId="57" applyAlignment="1" pivotButton="0" quotePrefix="0" xfId="0">
      <alignment vertical="center"/>
    </xf>
    <xf numFmtId="165" fontId="2" fillId="0" borderId="58" applyAlignment="1" pivotButton="0" quotePrefix="0" xfId="0">
      <alignment horizontal="right" vertical="center"/>
    </xf>
    <xf numFmtId="165" fontId="2" fillId="0" borderId="59" applyAlignment="1" pivotButton="0" quotePrefix="0" xfId="0">
      <alignment horizontal="right" vertical="center"/>
    </xf>
    <xf numFmtId="4" fontId="2" fillId="0" borderId="59" applyAlignment="1" pivotButton="0" quotePrefix="0" xfId="0">
      <alignment horizontal="right" vertical="center"/>
    </xf>
    <xf numFmtId="4" fontId="2" fillId="0" borderId="59" applyAlignment="1" pivotButton="0" quotePrefix="0" xfId="0">
      <alignment vertical="center"/>
    </xf>
    <xf numFmtId="4" fontId="2" fillId="2" borderId="59" applyAlignment="1" pivotButton="0" quotePrefix="0" xfId="0">
      <alignment horizontal="center" vertical="center"/>
    </xf>
    <xf numFmtId="171" fontId="2" fillId="2" borderId="59" applyAlignment="1" pivotButton="0" quotePrefix="0" xfId="0">
      <alignment horizontal="center" vertical="center"/>
    </xf>
    <xf numFmtId="164" fontId="2" fillId="2" borderId="61" applyAlignment="1" pivotButton="0" quotePrefix="0" xfId="0">
      <alignment vertical="center"/>
    </xf>
    <xf numFmtId="3" fontId="4" fillId="2" borderId="89" applyAlignment="1" pivotButton="0" quotePrefix="0" xfId="0">
      <alignment horizontal="center" vertical="center"/>
    </xf>
    <xf numFmtId="169" fontId="2" fillId="2" borderId="90" applyAlignment="1" pivotButton="0" quotePrefix="0" xfId="0">
      <alignment horizontal="centerContinuous" vertical="center"/>
    </xf>
    <xf numFmtId="165" fontId="2" fillId="2" borderId="91" applyAlignment="1" pivotButton="0" quotePrefix="0" xfId="0">
      <alignment horizontal="center" vertical="center"/>
    </xf>
    <xf numFmtId="165" fontId="2" fillId="2" borderId="90" applyAlignment="1" pivotButton="0" quotePrefix="0" xfId="0">
      <alignment horizontal="center" vertical="center"/>
    </xf>
    <xf numFmtId="165" fontId="2" fillId="2" borderId="92" applyAlignment="1" pivotButton="0" quotePrefix="0" xfId="0">
      <alignment horizontal="center" vertical="center"/>
    </xf>
    <xf numFmtId="165" fontId="2" fillId="2" borderId="93" applyAlignment="1" pivotButton="0" quotePrefix="0" xfId="0">
      <alignment horizontal="center" vertical="center"/>
    </xf>
    <xf numFmtId="165" fontId="2" fillId="2" borderId="94" applyAlignment="1" pivotButton="0" quotePrefix="0" xfId="0">
      <alignment horizontal="center" vertical="center"/>
    </xf>
    <xf numFmtId="4" fontId="2" fillId="2" borderId="92" applyAlignment="1" pivotButton="0" quotePrefix="0" xfId="0">
      <alignment horizontal="center" vertical="center"/>
    </xf>
    <xf numFmtId="171" fontId="2" fillId="2" borderId="92" applyAlignment="1" pivotButton="0" quotePrefix="0" xfId="0">
      <alignment horizontal="center" vertical="center"/>
    </xf>
    <xf numFmtId="164" fontId="2" fillId="2" borderId="95" applyAlignment="1" pivotButton="0" quotePrefix="0" xfId="0">
      <alignment vertical="center"/>
    </xf>
    <xf numFmtId="4" fontId="2" fillId="0" borderId="0" applyAlignment="1" pivotButton="0" quotePrefix="0" xfId="0">
      <alignment horizontal="left"/>
    </xf>
    <xf numFmtId="4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164" fontId="2" fillId="0" borderId="0" applyAlignment="1" pivotButton="0" quotePrefix="0" xfId="0">
      <alignment horizontal="left" vertical="center"/>
    </xf>
    <xf numFmtId="164" fontId="2" fillId="0" borderId="0" applyAlignment="1" pivotButton="0" quotePrefix="0" xfId="0">
      <alignment horizontal="left" vertical="center"/>
    </xf>
    <xf numFmtId="0" fontId="2" fillId="0" borderId="0" applyAlignment="1" pivotButton="0" quotePrefix="0" xfId="0">
      <alignment horizontal="center" vertical="center"/>
    </xf>
    <xf numFmtId="164" fontId="2" fillId="2" borderId="11" applyAlignment="1" pivotButton="0" quotePrefix="0" xfId="0">
      <alignment horizontal="center" vertical="center" wrapText="1"/>
    </xf>
    <xf numFmtId="164" fontId="2" fillId="2" borderId="96" applyAlignment="1" pivotButton="0" quotePrefix="0" xfId="0">
      <alignment horizontal="center" vertical="center" wrapText="1"/>
    </xf>
    <xf numFmtId="9" fontId="2" fillId="2" borderId="20" applyAlignment="1" pivotButton="0" quotePrefix="0" xfId="0">
      <alignment horizontal="center" vertical="center" wrapText="1"/>
    </xf>
    <xf numFmtId="164" fontId="2" fillId="2" borderId="23" applyAlignment="1" pivotButton="0" quotePrefix="0" xfId="0">
      <alignment horizontal="center" vertical="center" wrapText="1"/>
    </xf>
    <xf numFmtId="0" fontId="2" fillId="0" borderId="0" pivotButton="0" quotePrefix="0" xfId="0"/>
    <xf numFmtId="164" fontId="2" fillId="2" borderId="24" applyAlignment="1" pivotButton="0" quotePrefix="0" xfId="0">
      <alignment horizontal="center" vertical="center"/>
    </xf>
    <xf numFmtId="164" fontId="2" fillId="2" borderId="25" applyAlignment="1" pivotButton="0" quotePrefix="0" xfId="0">
      <alignment horizontal="center" vertical="center"/>
    </xf>
    <xf numFmtId="164" fontId="2" fillId="2" borderId="28" applyAlignment="1" pivotButton="0" quotePrefix="0" xfId="0">
      <alignment horizontal="center" vertical="center"/>
    </xf>
    <xf numFmtId="164" fontId="2" fillId="2" borderId="26" applyAlignment="1" pivotButton="0" quotePrefix="0" xfId="0">
      <alignment horizontal="center" vertical="center"/>
    </xf>
    <xf numFmtId="164" fontId="2" fillId="2" borderId="27" applyAlignment="1" pivotButton="0" quotePrefix="0" xfId="0">
      <alignment horizontal="center" vertical="center"/>
    </xf>
    <xf numFmtId="164" fontId="4" fillId="0" borderId="55" applyAlignment="1" pivotButton="0" quotePrefix="0" xfId="0">
      <alignment horizontal="left" vertical="center"/>
    </xf>
    <xf numFmtId="165" fontId="2" fillId="0" borderId="59" applyAlignment="1" pivotButton="0" quotePrefix="0" xfId="0">
      <alignment horizontal="right"/>
    </xf>
    <xf numFmtId="165" fontId="2" fillId="0" borderId="60" applyAlignment="1" pivotButton="0" quotePrefix="0" xfId="0">
      <alignment horizontal="right"/>
    </xf>
    <xf numFmtId="9" fontId="2" fillId="0" borderId="59" applyAlignment="1" pivotButton="0" quotePrefix="0" xfId="0">
      <alignment horizontal="center" vertical="center"/>
    </xf>
    <xf numFmtId="164" fontId="2" fillId="0" borderId="61" applyAlignment="1" pivotButton="0" quotePrefix="0" xfId="0">
      <alignment horizontal="center" vertical="center"/>
    </xf>
    <xf numFmtId="0" fontId="10" fillId="0" borderId="62" applyAlignment="1" applyProtection="1" pivotButton="0" quotePrefix="0" xfId="0">
      <alignment horizontal="left" vertical="center" indent="1"/>
      <protection locked="0" hidden="1"/>
    </xf>
    <xf numFmtId="165" fontId="2" fillId="0" borderId="65" applyAlignment="1" pivotButton="0" quotePrefix="0" xfId="0">
      <alignment horizontal="center" vertical="center"/>
    </xf>
    <xf numFmtId="165" fontId="2" fillId="0" borderId="66" applyAlignment="1" pivotButton="0" quotePrefix="0" xfId="0">
      <alignment horizontal="center" vertical="center"/>
    </xf>
    <xf numFmtId="9" fontId="2" fillId="0" borderId="65" applyAlignment="1" pivotButton="0" quotePrefix="0" xfId="0">
      <alignment horizontal="center" vertical="center"/>
    </xf>
    <xf numFmtId="166" fontId="2" fillId="0" borderId="67" applyAlignment="1" pivotButton="0" quotePrefix="0" xfId="0">
      <alignment horizontal="center" vertical="center"/>
    </xf>
    <xf numFmtId="0" fontId="10" fillId="0" borderId="62" applyAlignment="1" applyProtection="1" pivotButton="0" quotePrefix="0" xfId="0">
      <alignment horizontal="left" vertical="center" wrapText="1" indent="1"/>
      <protection locked="0" hidden="1"/>
    </xf>
    <xf numFmtId="165" fontId="4" fillId="0" borderId="65" applyAlignment="1" pivotButton="0" quotePrefix="0" xfId="0">
      <alignment horizontal="center" vertical="center"/>
    </xf>
    <xf numFmtId="0" fontId="10" fillId="2" borderId="68" applyAlignment="1" applyProtection="1" pivotButton="0" quotePrefix="0" xfId="0">
      <alignment horizontal="center" vertical="center"/>
      <protection locked="0" hidden="1"/>
    </xf>
    <xf numFmtId="165" fontId="2" fillId="2" borderId="69" applyAlignment="1" pivotButton="0" quotePrefix="0" xfId="0">
      <alignment horizontal="center" vertical="center"/>
    </xf>
    <xf numFmtId="165" fontId="2" fillId="2" borderId="71" applyAlignment="1" pivotButton="0" quotePrefix="0" xfId="0">
      <alignment horizontal="center" vertical="center"/>
    </xf>
    <xf numFmtId="165" fontId="2" fillId="2" borderId="73" applyAlignment="1" pivotButton="0" quotePrefix="0" xfId="0">
      <alignment horizontal="center" vertical="center"/>
    </xf>
    <xf numFmtId="165" fontId="2" fillId="2" borderId="98" applyAlignment="1" pivotButton="0" quotePrefix="0" xfId="0">
      <alignment horizontal="center" vertical="center"/>
    </xf>
    <xf numFmtId="9" fontId="2" fillId="2" borderId="31" applyAlignment="1" pivotButton="0" quotePrefix="0" xfId="0">
      <alignment horizontal="center" vertical="center"/>
    </xf>
    <xf numFmtId="166" fontId="2" fillId="2" borderId="74" applyAlignment="1" pivotButton="0" quotePrefix="0" xfId="0">
      <alignment horizontal="center" vertical="center"/>
    </xf>
    <xf numFmtId="0" fontId="11" fillId="0" borderId="75" applyAlignment="1" applyProtection="1" pivotButton="0" quotePrefix="0" xfId="0">
      <alignment horizontal="left" vertical="center"/>
      <protection locked="0" hidden="1"/>
    </xf>
    <xf numFmtId="165" fontId="2" fillId="0" borderId="78" applyAlignment="1" pivotButton="0" quotePrefix="0" xfId="0">
      <alignment horizontal="right"/>
    </xf>
    <xf numFmtId="165" fontId="2" fillId="0" borderId="79" applyAlignment="1" pivotButton="0" quotePrefix="0" xfId="0">
      <alignment horizontal="right"/>
    </xf>
    <xf numFmtId="165" fontId="2" fillId="0" borderId="78" applyAlignment="1" pivotButton="0" quotePrefix="0" xfId="0">
      <alignment horizontal="center" vertical="center"/>
    </xf>
    <xf numFmtId="165" fontId="2" fillId="0" borderId="80" applyAlignment="1" pivotButton="0" quotePrefix="0" xfId="0">
      <alignment horizontal="center" vertical="center"/>
    </xf>
    <xf numFmtId="165" fontId="2" fillId="0" borderId="79" applyAlignment="1" pivotButton="0" quotePrefix="0" xfId="0">
      <alignment horizontal="center" vertical="center"/>
    </xf>
    <xf numFmtId="165" fontId="2" fillId="0" borderId="99" applyAlignment="1" pivotButton="0" quotePrefix="0" xfId="0">
      <alignment horizontal="center" vertical="center"/>
    </xf>
    <xf numFmtId="166" fontId="2" fillId="0" borderId="81" applyAlignment="1" pivotButton="0" quotePrefix="0" xfId="0">
      <alignment horizontal="center" vertical="center"/>
    </xf>
    <xf numFmtId="165" fontId="2" fillId="0" borderId="65" applyAlignment="1" pivotButton="0" quotePrefix="0" xfId="0">
      <alignment horizontal="right"/>
    </xf>
    <xf numFmtId="165" fontId="2" fillId="0" borderId="66" applyAlignment="1" pivotButton="0" quotePrefix="0" xfId="0">
      <alignment horizontal="right"/>
    </xf>
    <xf numFmtId="165" fontId="2" fillId="0" borderId="71" applyAlignment="1" pivotButton="0" quotePrefix="0" xfId="0">
      <alignment horizontal="center" vertical="center"/>
    </xf>
    <xf numFmtId="9" fontId="2" fillId="0" borderId="71" applyAlignment="1" pivotButton="0" quotePrefix="0" xfId="0">
      <alignment horizontal="center" vertical="center"/>
    </xf>
    <xf numFmtId="164" fontId="2" fillId="0" borderId="62" applyAlignment="1" pivotButton="0" quotePrefix="0" xfId="0">
      <alignment horizontal="left" vertical="center" indent="1"/>
    </xf>
    <xf numFmtId="165" fontId="4" fillId="0" borderId="65" applyAlignment="1" pivotButton="0" quotePrefix="0" xfId="0">
      <alignment horizontal="right"/>
    </xf>
    <xf numFmtId="165" fontId="4" fillId="0" borderId="66" applyAlignment="1" pivotButton="0" quotePrefix="0" xfId="0">
      <alignment horizontal="right"/>
    </xf>
    <xf numFmtId="165" fontId="4" fillId="0" borderId="64" applyAlignment="1" pivotButton="0" quotePrefix="0" xfId="0">
      <alignment horizontal="center" vertical="center"/>
    </xf>
    <xf numFmtId="165" fontId="4" fillId="0" borderId="66" applyAlignment="1" pivotButton="0" quotePrefix="0" xfId="0">
      <alignment horizontal="center" vertical="center"/>
    </xf>
    <xf numFmtId="164" fontId="2" fillId="0" borderId="68" applyAlignment="1" pivotButton="0" quotePrefix="0" xfId="0">
      <alignment horizontal="left" vertical="center" wrapText="1" indent="1"/>
    </xf>
    <xf numFmtId="165" fontId="4" fillId="0" borderId="71" applyAlignment="1" pivotButton="0" quotePrefix="0" xfId="0">
      <alignment horizontal="right"/>
    </xf>
    <xf numFmtId="165" fontId="4" fillId="0" borderId="72" applyAlignment="1" pivotButton="0" quotePrefix="0" xfId="0">
      <alignment horizontal="right"/>
    </xf>
    <xf numFmtId="165" fontId="4" fillId="0" borderId="71" applyAlignment="1" pivotButton="0" quotePrefix="0" xfId="0">
      <alignment horizontal="center" vertical="center"/>
    </xf>
    <xf numFmtId="165" fontId="4" fillId="0" borderId="73" applyAlignment="1" pivotButton="0" quotePrefix="0" xfId="0">
      <alignment horizontal="center" vertical="center"/>
    </xf>
    <xf numFmtId="165" fontId="4" fillId="0" borderId="72" applyAlignment="1" pivotButton="0" quotePrefix="0" xfId="0">
      <alignment horizontal="center" vertical="center"/>
    </xf>
    <xf numFmtId="166" fontId="2" fillId="0" borderId="74" applyAlignment="1" pivotButton="0" quotePrefix="0" xfId="0">
      <alignment horizontal="center" vertical="center"/>
    </xf>
    <xf numFmtId="0" fontId="10" fillId="2" borderId="89" applyAlignment="1" applyProtection="1" pivotButton="0" quotePrefix="0" xfId="0">
      <alignment horizontal="center" vertical="center"/>
      <protection locked="0" hidden="1"/>
    </xf>
    <xf numFmtId="165" fontId="2" fillId="2" borderId="100" applyAlignment="1" pivotButton="0" quotePrefix="0" xfId="0">
      <alignment horizontal="center" vertical="center"/>
    </xf>
    <xf numFmtId="165" fontId="2" fillId="2" borderId="101" applyAlignment="1" pivotButton="0" quotePrefix="0" xfId="0">
      <alignment horizontal="center" vertical="center"/>
    </xf>
    <xf numFmtId="9" fontId="2" fillId="2" borderId="92" applyAlignment="1" pivotButton="0" quotePrefix="0" xfId="0">
      <alignment horizontal="center" vertical="center"/>
    </xf>
    <xf numFmtId="166" fontId="1" fillId="2" borderId="95" applyAlignment="1" pivotButton="0" quotePrefix="0" xfId="0">
      <alignment horizontal="center" vertical="center"/>
    </xf>
    <xf numFmtId="0" fontId="2" fillId="0" borderId="47" pivotButton="0" quotePrefix="0" xfId="0"/>
    <xf numFmtId="164" fontId="2" fillId="2" borderId="102" applyAlignment="1" pivotButton="0" quotePrefix="0" xfId="0">
      <alignment horizontal="center" vertical="center" wrapText="1"/>
    </xf>
    <xf numFmtId="164" fontId="2" fillId="2" borderId="18" applyAlignment="1" pivotButton="0" quotePrefix="0" xfId="0">
      <alignment horizontal="center" vertical="center" wrapText="1"/>
    </xf>
    <xf numFmtId="164" fontId="2" fillId="2" borderId="16" applyAlignment="1" pivotButton="0" quotePrefix="0" xfId="0">
      <alignment horizontal="center" vertical="center" wrapText="1"/>
    </xf>
    <xf numFmtId="0" fontId="2" fillId="0" borderId="0" applyAlignment="1" pivotButton="0" quotePrefix="0" xfId="0">
      <alignment vertical="center"/>
    </xf>
    <xf numFmtId="172" fontId="2" fillId="2" borderId="24" applyAlignment="1" pivotButton="0" quotePrefix="0" xfId="0">
      <alignment horizontal="center" vertical="center" wrapText="1"/>
    </xf>
    <xf numFmtId="164" fontId="2" fillId="0" borderId="32" applyAlignment="1" applyProtection="1" pivotButton="0" quotePrefix="0" xfId="0">
      <alignment horizontal="left"/>
      <protection locked="0" hidden="0"/>
    </xf>
    <xf numFmtId="164" fontId="2" fillId="0" borderId="59" applyProtection="1" pivotButton="0" quotePrefix="0" xfId="0">
      <protection locked="0" hidden="0"/>
    </xf>
    <xf numFmtId="9" fontId="2" fillId="0" borderId="60" applyAlignment="1" applyProtection="1" pivotButton="0" quotePrefix="0" xfId="0">
      <alignment horizontal="center"/>
      <protection locked="0" hidden="0"/>
    </xf>
    <xf numFmtId="173" fontId="2" fillId="0" borderId="56" applyAlignment="1" pivotButton="0" quotePrefix="0" xfId="0">
      <alignment horizontal="center" vertical="center"/>
    </xf>
    <xf numFmtId="173" fontId="2" fillId="0" borderId="59" applyAlignment="1" applyProtection="1" pivotButton="0" quotePrefix="0" xfId="0">
      <alignment horizontal="center" vertical="center"/>
      <protection locked="0" hidden="0"/>
    </xf>
    <xf numFmtId="173" fontId="2" fillId="0" borderId="57" applyAlignment="1" applyProtection="1" pivotButton="0" quotePrefix="0" xfId="0">
      <alignment horizontal="center" vertical="center"/>
      <protection locked="0" hidden="0"/>
    </xf>
    <xf numFmtId="173" fontId="2" fillId="0" borderId="58" applyAlignment="1" pivotButton="0" quotePrefix="0" xfId="0">
      <alignment horizontal="center" vertical="center"/>
    </xf>
    <xf numFmtId="173" fontId="2" fillId="0" borderId="60" applyAlignment="1" applyProtection="1" pivotButton="0" quotePrefix="0" xfId="0">
      <alignment horizontal="center" vertical="center"/>
      <protection locked="0" hidden="0"/>
    </xf>
    <xf numFmtId="173" fontId="2" fillId="0" borderId="59" applyProtection="1" pivotButton="0" quotePrefix="0" xfId="0">
      <protection locked="0" hidden="0"/>
    </xf>
    <xf numFmtId="173" fontId="2" fillId="0" borderId="60" applyProtection="1" pivotButton="0" quotePrefix="0" xfId="0">
      <protection locked="0" hidden="0"/>
    </xf>
    <xf numFmtId="172" fontId="2" fillId="0" borderId="56" applyAlignment="1" pivotButton="0" quotePrefix="0" xfId="0">
      <alignment horizontal="center" vertical="center"/>
    </xf>
    <xf numFmtId="164" fontId="2" fillId="0" borderId="61" pivotButton="0" quotePrefix="0" xfId="0"/>
    <xf numFmtId="164" fontId="2" fillId="0" borderId="37" applyAlignment="1" applyProtection="1" pivotButton="0" quotePrefix="0" xfId="0">
      <alignment horizontal="left"/>
      <protection locked="0" hidden="0"/>
    </xf>
    <xf numFmtId="164" fontId="2" fillId="0" borderId="65" applyAlignment="1" applyProtection="1" pivotButton="0" quotePrefix="0" xfId="0">
      <alignment horizontal="left"/>
      <protection locked="0" hidden="0"/>
    </xf>
    <xf numFmtId="9" fontId="2" fillId="0" borderId="66" applyAlignment="1" applyProtection="1" pivotButton="0" quotePrefix="0" xfId="0">
      <alignment horizontal="center"/>
      <protection locked="0" hidden="0"/>
    </xf>
    <xf numFmtId="173" fontId="2" fillId="0" borderId="65" applyAlignment="1" applyProtection="1" pivotButton="0" quotePrefix="0" xfId="0">
      <alignment horizontal="center" vertical="center"/>
      <protection locked="0" hidden="0"/>
    </xf>
    <xf numFmtId="173" fontId="2" fillId="0" borderId="64" applyAlignment="1" applyProtection="1" pivotButton="0" quotePrefix="0" xfId="0">
      <alignment horizontal="center" vertical="center"/>
      <protection locked="0" hidden="0"/>
    </xf>
    <xf numFmtId="173" fontId="2" fillId="0" borderId="66" applyAlignment="1" applyProtection="1" pivotButton="0" quotePrefix="0" xfId="0">
      <alignment horizontal="center" vertical="center"/>
      <protection locked="0" hidden="0"/>
    </xf>
    <xf numFmtId="173" fontId="2" fillId="0" borderId="65" applyProtection="1" pivotButton="0" quotePrefix="0" xfId="0">
      <protection locked="0" hidden="0"/>
    </xf>
    <xf numFmtId="173" fontId="2" fillId="0" borderId="66" applyProtection="1" pivotButton="0" quotePrefix="0" xfId="0">
      <protection locked="0" hidden="0"/>
    </xf>
    <xf numFmtId="164" fontId="2" fillId="0" borderId="67" pivotButton="0" quotePrefix="0" xfId="0"/>
    <xf numFmtId="164" fontId="2" fillId="0" borderId="65" applyProtection="1" pivotButton="0" quotePrefix="0" xfId="0">
      <protection locked="0" hidden="0"/>
    </xf>
    <xf numFmtId="171" fontId="2" fillId="0" borderId="66" applyAlignment="1" applyProtection="1" pivotButton="0" quotePrefix="0" xfId="0">
      <alignment horizontal="center"/>
      <protection locked="0" hidden="0"/>
    </xf>
    <xf numFmtId="164" fontId="4" fillId="2" borderId="103" applyAlignment="1" pivotButton="0" quotePrefix="0" xfId="0">
      <alignment horizontal="center" vertical="center"/>
    </xf>
    <xf numFmtId="164" fontId="4" fillId="2" borderId="100" applyAlignment="1" pivotButton="0" quotePrefix="0" xfId="0">
      <alignment horizontal="center" vertical="center"/>
    </xf>
    <xf numFmtId="164" fontId="4" fillId="2" borderId="101" applyAlignment="1" pivotButton="0" quotePrefix="0" xfId="0">
      <alignment horizontal="center" vertical="center"/>
    </xf>
    <xf numFmtId="173" fontId="2" fillId="2" borderId="104" applyAlignment="1" pivotButton="0" quotePrefix="0" xfId="0">
      <alignment horizontal="center" vertical="center"/>
    </xf>
    <xf numFmtId="172" fontId="4" fillId="2" borderId="92" applyAlignment="1" pivotButton="0" quotePrefix="0" xfId="0">
      <alignment horizontal="center" vertical="center"/>
    </xf>
    <xf numFmtId="172" fontId="4" fillId="2" borderId="93" applyAlignment="1" pivotButton="0" quotePrefix="0" xfId="0">
      <alignment horizontal="center" vertical="center"/>
    </xf>
    <xf numFmtId="173" fontId="2" fillId="2" borderId="105" applyAlignment="1" pivotButton="0" quotePrefix="0" xfId="0">
      <alignment horizontal="center" vertical="center"/>
    </xf>
    <xf numFmtId="172" fontId="4" fillId="2" borderId="94" applyAlignment="1" pivotButton="0" quotePrefix="0" xfId="0">
      <alignment horizontal="center" vertical="center"/>
    </xf>
    <xf numFmtId="164" fontId="4" fillId="2" borderId="95" applyAlignment="1" pivotButton="0" quotePrefix="0" xfId="0">
      <alignment horizontal="center" vertical="center"/>
    </xf>
    <xf numFmtId="0" fontId="2" fillId="0" borderId="47" applyAlignment="1" pivotButton="0" quotePrefix="0" xfId="0">
      <alignment vertical="center"/>
    </xf>
    <xf numFmtId="0" fontId="2" fillId="0" borderId="0" applyAlignment="1" pivotButton="0" quotePrefix="0" xfId="0">
      <alignment horizontal="left" vertical="center"/>
    </xf>
    <xf numFmtId="164" fontId="2" fillId="2" borderId="102" applyAlignment="1" pivotButton="0" quotePrefix="0" xfId="0">
      <alignment horizontal="center" vertical="center"/>
    </xf>
    <xf numFmtId="164" fontId="2" fillId="2" borderId="96" applyAlignment="1" pivotButton="0" quotePrefix="0" xfId="0">
      <alignment horizontal="center" vertical="center"/>
    </xf>
    <xf numFmtId="164" fontId="4" fillId="0" borderId="32" applyAlignment="1" pivotButton="0" quotePrefix="0" xfId="0">
      <alignment horizontal="left" vertical="center"/>
    </xf>
    <xf numFmtId="165" fontId="12" fillId="0" borderId="59" pivotButton="0" quotePrefix="0" xfId="0"/>
    <xf numFmtId="165" fontId="12" fillId="0" borderId="60" pivotButton="0" quotePrefix="0" xfId="0"/>
    <xf numFmtId="165" fontId="2" fillId="0" borderId="56" applyAlignment="1" pivotButton="0" quotePrefix="0" xfId="0">
      <alignment horizontal="center"/>
    </xf>
    <xf numFmtId="165" fontId="2" fillId="0" borderId="59" applyAlignment="1" pivotButton="0" quotePrefix="0" xfId="0">
      <alignment horizontal="center"/>
    </xf>
    <xf numFmtId="165" fontId="2" fillId="0" borderId="57" applyAlignment="1" pivotButton="0" quotePrefix="0" xfId="0">
      <alignment horizontal="center"/>
    </xf>
    <xf numFmtId="164" fontId="12" fillId="0" borderId="61" pivotButton="0" quotePrefix="0" xfId="0"/>
    <xf numFmtId="164" fontId="2" fillId="0" borderId="37" applyAlignment="1" pivotButton="0" quotePrefix="0" xfId="0">
      <alignment horizontal="left" vertical="center"/>
    </xf>
    <xf numFmtId="165" fontId="12" fillId="0" borderId="65" pivotButton="0" quotePrefix="0" xfId="0"/>
    <xf numFmtId="165" fontId="12" fillId="0" borderId="66" pivotButton="0" quotePrefix="0" xfId="0"/>
    <xf numFmtId="165" fontId="2" fillId="0" borderId="65" applyAlignment="1" pivotButton="0" quotePrefix="0" xfId="0">
      <alignment horizontal="center"/>
    </xf>
    <xf numFmtId="165" fontId="2" fillId="0" borderId="64" applyAlignment="1" pivotButton="0" quotePrefix="0" xfId="0">
      <alignment horizontal="center"/>
    </xf>
    <xf numFmtId="164" fontId="12" fillId="0" borderId="67" pivotButton="0" quotePrefix="0" xfId="0"/>
    <xf numFmtId="164" fontId="2" fillId="0" borderId="37" applyAlignment="1" pivotButton="0" quotePrefix="0" xfId="0">
      <alignment horizontal="left" vertical="center" indent="1"/>
    </xf>
    <xf numFmtId="164" fontId="2" fillId="0" borderId="39" applyAlignment="1" pivotButton="0" quotePrefix="0" xfId="0">
      <alignment horizontal="left" vertical="center" indent="1"/>
    </xf>
    <xf numFmtId="165" fontId="12" fillId="0" borderId="71" pivotButton="0" quotePrefix="0" xfId="0"/>
    <xf numFmtId="165" fontId="12" fillId="0" borderId="72" pivotButton="0" quotePrefix="0" xfId="0"/>
    <xf numFmtId="165" fontId="2" fillId="0" borderId="71" applyAlignment="1" pivotButton="0" quotePrefix="0" xfId="0">
      <alignment horizontal="center"/>
    </xf>
    <xf numFmtId="165" fontId="2" fillId="0" borderId="73" applyAlignment="1" pivotButton="0" quotePrefix="0" xfId="0">
      <alignment horizontal="center"/>
    </xf>
    <xf numFmtId="165" fontId="2" fillId="0" borderId="72" applyAlignment="1" pivotButton="0" quotePrefix="0" xfId="0">
      <alignment horizontal="center" vertical="center"/>
    </xf>
    <xf numFmtId="164" fontId="12" fillId="0" borderId="74" pivotButton="0" quotePrefix="0" xfId="0"/>
    <xf numFmtId="164" fontId="2" fillId="2" borderId="40" applyAlignment="1" pivotButton="0" quotePrefix="0" xfId="0">
      <alignment horizontal="center" vertical="center"/>
    </xf>
    <xf numFmtId="165" fontId="2" fillId="2" borderId="106" applyAlignment="1" pivotButton="0" quotePrefix="0" xfId="0">
      <alignment horizontal="center" vertical="center"/>
    </xf>
    <xf numFmtId="165" fontId="2" fillId="2" borderId="29" applyAlignment="1" pivotButton="0" quotePrefix="0" xfId="0">
      <alignment horizontal="center" vertical="center"/>
    </xf>
    <xf numFmtId="164" fontId="12" fillId="2" borderId="86" applyAlignment="1" pivotButton="0" quotePrefix="0" xfId="0">
      <alignment vertical="center"/>
    </xf>
    <xf numFmtId="165" fontId="12" fillId="0" borderId="56" pivotButton="0" quotePrefix="0" xfId="0"/>
    <xf numFmtId="165" fontId="12" fillId="0" borderId="57" pivotButton="0" quotePrefix="0" xfId="0"/>
    <xf numFmtId="165" fontId="12" fillId="0" borderId="58" pivotButton="0" quotePrefix="0" xfId="0"/>
    <xf numFmtId="165" fontId="2" fillId="0" borderId="65" pivotButton="0" quotePrefix="0" xfId="0"/>
    <xf numFmtId="165" fontId="2" fillId="0" borderId="66" pivotButton="0" quotePrefix="0" xfId="0"/>
    <xf numFmtId="165" fontId="12" fillId="0" borderId="63" pivotButton="0" quotePrefix="0" xfId="0"/>
    <xf numFmtId="165" fontId="12" fillId="0" borderId="64" pivotButton="0" quotePrefix="0" xfId="0"/>
    <xf numFmtId="165" fontId="12" fillId="0" borderId="82" pivotButton="0" quotePrefix="0" xfId="0"/>
    <xf numFmtId="165" fontId="2" fillId="0" borderId="71" pivotButton="0" quotePrefix="0" xfId="0"/>
    <xf numFmtId="165" fontId="2" fillId="0" borderId="72" pivotButton="0" quotePrefix="0" xfId="0"/>
    <xf numFmtId="165" fontId="12" fillId="0" borderId="69" pivotButton="0" quotePrefix="0" xfId="0"/>
    <xf numFmtId="165" fontId="12" fillId="0" borderId="73" pivotButton="0" quotePrefix="0" xfId="0"/>
    <xf numFmtId="165" fontId="12" fillId="0" borderId="98" pivotButton="0" quotePrefix="0" xfId="0"/>
    <xf numFmtId="165" fontId="2" fillId="2" borderId="107" applyAlignment="1" pivotButton="0" quotePrefix="0" xfId="0">
      <alignment horizontal="center" vertical="center"/>
    </xf>
    <xf numFmtId="164" fontId="12" fillId="2" borderId="86" pivotButton="0" quotePrefix="0" xfId="0"/>
    <xf numFmtId="165" fontId="2" fillId="0" borderId="108" applyAlignment="1" pivotButton="0" quotePrefix="0" xfId="0">
      <alignment horizontal="center" vertical="center"/>
    </xf>
    <xf numFmtId="165" fontId="2" fillId="0" borderId="109" applyAlignment="1" pivotButton="0" quotePrefix="0" xfId="0">
      <alignment horizontal="center" vertical="center"/>
    </xf>
    <xf numFmtId="165" fontId="2" fillId="0" borderId="110" applyAlignment="1" pivotButton="0" quotePrefix="0" xfId="0">
      <alignment horizontal="center" vertical="center"/>
    </xf>
    <xf numFmtId="165" fontId="2" fillId="0" borderId="105" applyAlignment="1" pivotButton="0" quotePrefix="0" xfId="0">
      <alignment horizontal="center" vertical="center"/>
    </xf>
    <xf numFmtId="165" fontId="2" fillId="0" borderId="104" applyAlignment="1" pivotButton="0" quotePrefix="0" xfId="0">
      <alignment horizontal="center" vertical="center"/>
    </xf>
    <xf numFmtId="164" fontId="12" fillId="0" borderId="111" applyAlignment="1" pivotButton="0" quotePrefix="0" xfId="0">
      <alignment horizontal="center" vertical="center"/>
    </xf>
    <xf numFmtId="164" fontId="2" fillId="0" borderId="0" applyAlignment="1" pivotButton="0" quotePrefix="0" xfId="0">
      <alignment horizontal="left"/>
    </xf>
    <xf numFmtId="164" fontId="12" fillId="0" borderId="0" pivotButton="0" quotePrefix="0" xfId="0"/>
    <xf numFmtId="164" fontId="1" fillId="0" borderId="0" pivotButton="0" quotePrefix="0" xfId="0"/>
    <xf numFmtId="164" fontId="13" fillId="0" borderId="0" applyAlignment="1" pivotButton="0" quotePrefix="0" xfId="0">
      <alignment horizontal="right"/>
    </xf>
    <xf numFmtId="164" fontId="3" fillId="0" borderId="0" applyAlignment="1" pivotButton="0" quotePrefix="0" xfId="0">
      <alignment horizontal="center"/>
    </xf>
    <xf numFmtId="164" fontId="2" fillId="0" borderId="0" applyAlignment="1" pivotButton="0" quotePrefix="0" xfId="0">
      <alignment vertical="center"/>
    </xf>
    <xf numFmtId="164" fontId="2" fillId="0" borderId="0" pivotButton="0" quotePrefix="0" xfId="0"/>
    <xf numFmtId="164" fontId="2" fillId="0" borderId="32" pivotButton="0" quotePrefix="0" xfId="0"/>
    <xf numFmtId="164" fontId="2" fillId="0" borderId="59" pivotButton="0" quotePrefix="0" xfId="0"/>
    <xf numFmtId="165" fontId="2" fillId="0" borderId="59" pivotButton="0" quotePrefix="0" xfId="0"/>
    <xf numFmtId="165" fontId="2" fillId="0" borderId="60" pivotButton="0" quotePrefix="0" xfId="0"/>
    <xf numFmtId="165" fontId="2" fillId="0" borderId="57" pivotButton="0" quotePrefix="0" xfId="0"/>
    <xf numFmtId="165" fontId="2" fillId="0" borderId="58" applyAlignment="1" pivotButton="0" quotePrefix="0" xfId="0">
      <alignment horizontal="center"/>
    </xf>
    <xf numFmtId="164" fontId="2" fillId="0" borderId="37" pivotButton="0" quotePrefix="0" xfId="0"/>
    <xf numFmtId="164" fontId="2" fillId="0" borderId="65" pivotButton="0" quotePrefix="0" xfId="0"/>
    <xf numFmtId="165" fontId="2" fillId="0" borderId="64" pivotButton="0" quotePrefix="0" xfId="0"/>
    <xf numFmtId="164" fontId="2" fillId="0" borderId="39" pivotButton="0" quotePrefix="0" xfId="0"/>
    <xf numFmtId="164" fontId="2" fillId="0" borderId="71" pivotButton="0" quotePrefix="0" xfId="0"/>
    <xf numFmtId="165" fontId="2" fillId="0" borderId="73" pivotButton="0" quotePrefix="0" xfId="0"/>
    <xf numFmtId="164" fontId="2" fillId="0" borderId="74" pivotButton="0" quotePrefix="0" xfId="0"/>
    <xf numFmtId="164" fontId="2" fillId="2" borderId="40" applyAlignment="1" pivotButton="0" quotePrefix="0" xfId="0">
      <alignment horizontal="center"/>
    </xf>
    <xf numFmtId="164" fontId="2" fillId="2" borderId="31" applyAlignment="1" pivotButton="0" quotePrefix="0" xfId="0">
      <alignment horizontal="center" vertical="center"/>
    </xf>
    <xf numFmtId="165" fontId="2" fillId="2" borderId="14" applyAlignment="1" pivotButton="0" quotePrefix="0" xfId="0">
      <alignment horizontal="center" vertical="center"/>
    </xf>
    <xf numFmtId="165" fontId="2" fillId="2" borderId="97" applyAlignment="1" pivotButton="0" quotePrefix="0" xfId="0">
      <alignment horizontal="center"/>
    </xf>
    <xf numFmtId="165" fontId="2" fillId="2" borderId="14" applyAlignment="1" pivotButton="0" quotePrefix="0" xfId="0">
      <alignment horizontal="center"/>
    </xf>
    <xf numFmtId="164" fontId="2" fillId="2" borderId="86" pivotButton="0" quotePrefix="0" xfId="0"/>
    <xf numFmtId="165" fontId="2" fillId="2" borderId="97" applyAlignment="1" pivotButton="0" quotePrefix="0" xfId="0">
      <alignment horizontal="center" vertical="center"/>
    </xf>
    <xf numFmtId="164" fontId="2" fillId="0" borderId="108" applyAlignment="1" pivotButton="0" quotePrefix="0" xfId="0">
      <alignment horizontal="center" vertical="center"/>
    </xf>
    <xf numFmtId="165" fontId="2" fillId="0" borderId="104" applyAlignment="1" pivotButton="0" quotePrefix="0" xfId="0">
      <alignment horizontal="center"/>
    </xf>
    <xf numFmtId="164" fontId="2" fillId="0" borderId="111" applyAlignment="1" pivotButton="0" quotePrefix="0" xfId="0">
      <alignment vertical="center"/>
    </xf>
    <xf numFmtId="164" fontId="1" fillId="0" borderId="0" applyAlignment="1" pivotButton="0" quotePrefix="0" xfId="0">
      <alignment vertical="center" wrapText="1"/>
    </xf>
    <xf numFmtId="164" fontId="2" fillId="0" borderId="32" applyAlignment="1" pivotButton="0" quotePrefix="0" xfId="0">
      <alignment horizontal="left" vertical="center"/>
    </xf>
    <xf numFmtId="165" fontId="2" fillId="0" borderId="60" applyAlignment="1" pivotButton="0" quotePrefix="0" xfId="0">
      <alignment horizontal="center"/>
    </xf>
    <xf numFmtId="164" fontId="6" fillId="2" borderId="40" applyAlignment="1" pivotButton="0" quotePrefix="0" xfId="0">
      <alignment horizontal="center" vertical="center"/>
    </xf>
    <xf numFmtId="164" fontId="4" fillId="2" borderId="31" pivotButton="0" quotePrefix="0" xfId="0"/>
    <xf numFmtId="164" fontId="4" fillId="2" borderId="86" pivotButton="0" quotePrefix="0" xfId="0"/>
    <xf numFmtId="165" fontId="2" fillId="0" borderId="66" applyAlignment="1" pivotButton="0" quotePrefix="0" xfId="0">
      <alignment horizontal="left"/>
    </xf>
    <xf numFmtId="165" fontId="2" fillId="2" borderId="88" applyAlignment="1" pivotButton="0" quotePrefix="0" xfId="0">
      <alignment horizontal="center"/>
    </xf>
    <xf numFmtId="164" fontId="4" fillId="2" borderId="31" applyAlignment="1" pivotButton="0" quotePrefix="0" xfId="0">
      <alignment horizontal="right"/>
    </xf>
    <xf numFmtId="165" fontId="2" fillId="0" borderId="76" applyAlignment="1" pivotButton="0" quotePrefix="0" xfId="0">
      <alignment horizontal="center"/>
    </xf>
    <xf numFmtId="165" fontId="2" fillId="0" borderId="56" pivotButton="0" quotePrefix="0" xfId="0"/>
    <xf numFmtId="165" fontId="2" fillId="0" borderId="58" pivotButton="0" quotePrefix="0" xfId="0"/>
    <xf numFmtId="165" fontId="2" fillId="0" borderId="63" applyAlignment="1" pivotButton="0" quotePrefix="0" xfId="0">
      <alignment horizontal="right"/>
    </xf>
    <xf numFmtId="165" fontId="2" fillId="0" borderId="82" applyAlignment="1" pivotButton="0" quotePrefix="0" xfId="0">
      <alignment horizontal="right"/>
    </xf>
    <xf numFmtId="165" fontId="2" fillId="0" borderId="64" applyAlignment="1" pivotButton="0" quotePrefix="0" xfId="0">
      <alignment horizontal="right"/>
    </xf>
    <xf numFmtId="164" fontId="4" fillId="0" borderId="108" applyAlignment="1" pivotButton="0" quotePrefix="0" xfId="0">
      <alignment horizontal="right"/>
    </xf>
    <xf numFmtId="164" fontId="2" fillId="0" borderId="111" pivotButton="0" quotePrefix="0" xfId="0"/>
    <xf numFmtId="164" fontId="4" fillId="0" borderId="0" applyAlignment="1" pivotButton="0" quotePrefix="0" xfId="0">
      <alignment horizontal="right"/>
    </xf>
    <xf numFmtId="164" fontId="2" fillId="0" borderId="60" applyAlignment="1" pivotButton="0" quotePrefix="0" xfId="0">
      <alignment horizontal="left" vertical="center"/>
    </xf>
    <xf numFmtId="164" fontId="2" fillId="0" borderId="66" applyAlignment="1" pivotButton="0" quotePrefix="0" xfId="0">
      <alignment horizontal="left" vertical="center"/>
    </xf>
    <xf numFmtId="164" fontId="2" fillId="0" borderId="67" applyAlignment="1" pivotButton="0" quotePrefix="0" xfId="0">
      <alignment horizontal="center" vertical="center"/>
    </xf>
    <xf numFmtId="164" fontId="4" fillId="2" borderId="91" applyAlignment="1" pivotButton="0" quotePrefix="0" xfId="0">
      <alignment horizontal="center" vertical="center"/>
    </xf>
    <xf numFmtId="165" fontId="2" fillId="2" borderId="104" applyAlignment="1" pivotButton="0" quotePrefix="0" xfId="0">
      <alignment horizontal="center" vertical="center"/>
    </xf>
    <xf numFmtId="165" fontId="2" fillId="2" borderId="105" applyAlignment="1" pivotButton="0" quotePrefix="0" xfId="0">
      <alignment horizontal="center" vertical="center"/>
    </xf>
    <xf numFmtId="165" fontId="4" fillId="2" borderId="92" applyAlignment="1" pivotButton="0" quotePrefix="0" xfId="0">
      <alignment horizontal="center" vertical="center"/>
    </xf>
    <xf numFmtId="165" fontId="2" fillId="2" borderId="108" applyAlignment="1" pivotButton="0" quotePrefix="0" xfId="0">
      <alignment horizontal="center" vertical="center"/>
    </xf>
    <xf numFmtId="9" fontId="2" fillId="2" borderId="108" applyAlignment="1" pivotButton="0" quotePrefix="0" xfId="0">
      <alignment horizontal="center" vertical="center"/>
    </xf>
    <xf numFmtId="164" fontId="2" fillId="0" borderId="47" applyAlignment="1" pivotButton="0" quotePrefix="0" xfId="0">
      <alignment vertical="center"/>
    </xf>
    <xf numFmtId="0" fontId="0" fillId="0" borderId="0" pivotButton="0" quotePrefix="0" xfId="0"/>
    <xf numFmtId="164" fontId="3" fillId="0" borderId="0" applyAlignment="1" pivotButton="0" quotePrefix="0" xfId="0">
      <alignment horizontal="center" vertical="center"/>
    </xf>
    <xf numFmtId="164" fontId="2" fillId="0" borderId="0" applyAlignment="1" pivotButton="0" quotePrefix="0" xfId="0">
      <alignment vertical="center"/>
    </xf>
    <xf numFmtId="164" fontId="1" fillId="0" borderId="0" applyAlignment="1" pivotButton="0" quotePrefix="0" xfId="0">
      <alignment vertical="center"/>
    </xf>
    <xf numFmtId="164" fontId="1" fillId="0" borderId="0" applyAlignment="1" pivotButton="0" quotePrefix="0" xfId="0">
      <alignment horizontal="center" vertical="center"/>
    </xf>
    <xf numFmtId="164" fontId="2" fillId="0" borderId="1" applyAlignment="1" pivotButton="0" quotePrefix="0" xfId="0">
      <alignment horizontal="centerContinuous" vertical="center"/>
    </xf>
    <xf numFmtId="164" fontId="2" fillId="0" borderId="2" applyAlignment="1" pivotButton="0" quotePrefix="0" xfId="0">
      <alignment horizontal="center" vertical="center"/>
    </xf>
    <xf numFmtId="164" fontId="4" fillId="0" borderId="4" applyAlignment="1" pivotButton="0" quotePrefix="0" xfId="0">
      <alignment horizontal="left" vertical="center"/>
    </xf>
    <xf numFmtId="164" fontId="2" fillId="0" borderId="5" applyAlignment="1" pivotButton="0" quotePrefix="0" xfId="0">
      <alignment horizontal="left" vertical="center"/>
    </xf>
    <xf numFmtId="165" fontId="2" fillId="0" borderId="5" applyAlignment="1" pivotButton="0" quotePrefix="0" xfId="0">
      <alignment horizontal="right" vertical="center"/>
    </xf>
    <xf numFmtId="165" fontId="2" fillId="0" borderId="6" applyAlignment="1" pivotButton="0" quotePrefix="0" xfId="0">
      <alignment horizontal="right" vertical="center"/>
    </xf>
    <xf numFmtId="164" fontId="2" fillId="0" borderId="4" applyAlignment="1" pivotButton="0" quotePrefix="0" xfId="0">
      <alignment horizontal="left" vertical="center"/>
    </xf>
    <xf numFmtId="165" fontId="2" fillId="0" borderId="5" applyAlignment="1" pivotButton="0" quotePrefix="0" xfId="0">
      <alignment horizontal="right" vertical="center" shrinkToFit="1"/>
    </xf>
    <xf numFmtId="165" fontId="2" fillId="0" borderId="5" applyAlignment="1" pivotButton="0" quotePrefix="0" xfId="0">
      <alignment vertical="center" shrinkToFit="1"/>
    </xf>
    <xf numFmtId="165" fontId="2" fillId="0" borderId="6" applyAlignment="1" pivotButton="0" quotePrefix="0" xfId="0">
      <alignment horizontal="center" vertical="center" shrinkToFit="1"/>
    </xf>
    <xf numFmtId="165" fontId="2" fillId="0" borderId="6" applyAlignment="1" pivotButton="0" quotePrefix="0" xfId="0">
      <alignment horizontal="right" vertical="center" shrinkToFit="1"/>
    </xf>
    <xf numFmtId="164" fontId="5" fillId="0" borderId="5" applyAlignment="1" pivotButton="0" quotePrefix="0" xfId="0">
      <alignment horizontal="left" vertical="center"/>
    </xf>
    <xf numFmtId="164" fontId="2" fillId="2" borderId="4" applyAlignment="1" pivotButton="0" quotePrefix="0" xfId="0">
      <alignment horizontal="left" vertical="center"/>
    </xf>
    <xf numFmtId="164" fontId="2" fillId="2" borderId="5" applyAlignment="1" pivotButton="0" quotePrefix="0" xfId="0">
      <alignment horizontal="left" vertical="center"/>
    </xf>
    <xf numFmtId="165" fontId="2" fillId="2" borderId="5" applyAlignment="1" pivotButton="0" quotePrefix="0" xfId="0">
      <alignment horizontal="right" vertical="center" shrinkToFit="1"/>
    </xf>
    <xf numFmtId="165" fontId="2" fillId="2" borderId="6" applyAlignment="1" pivotButton="0" quotePrefix="0" xfId="0">
      <alignment horizontal="right" vertical="center" shrinkToFit="1"/>
    </xf>
    <xf numFmtId="165" fontId="2" fillId="0" borderId="5" applyAlignment="1" pivotButton="0" quotePrefix="0" xfId="0">
      <alignment horizontal="center" vertical="center" shrinkToFit="1"/>
    </xf>
    <xf numFmtId="164" fontId="2" fillId="0" borderId="4" applyAlignment="1" pivotButton="0" quotePrefix="0" xfId="0">
      <alignment vertical="center"/>
    </xf>
    <xf numFmtId="164" fontId="5" fillId="0" borderId="5" applyAlignment="1" pivotButton="0" quotePrefix="0" xfId="0">
      <alignment horizontal="left" vertical="center" wrapText="1"/>
    </xf>
    <xf numFmtId="164" fontId="5" fillId="2" borderId="5" applyAlignment="1" pivotButton="0" quotePrefix="0" xfId="0">
      <alignment horizontal="left" vertical="center"/>
    </xf>
    <xf numFmtId="164" fontId="2" fillId="2" borderId="4" applyAlignment="1" pivotButton="0" quotePrefix="0" xfId="0">
      <alignment horizontal="center" vertical="center"/>
    </xf>
    <xf numFmtId="164" fontId="2" fillId="0" borderId="4" applyAlignment="1" pivotButton="0" quotePrefix="0" xfId="0">
      <alignment horizontal="center" vertical="center"/>
    </xf>
    <xf numFmtId="164" fontId="2" fillId="0" borderId="4" applyAlignment="1" pivotButton="0" quotePrefix="0" xfId="0">
      <alignment vertical="center" wrapText="1"/>
    </xf>
    <xf numFmtId="164" fontId="5" fillId="0" borderId="5" applyAlignment="1" pivotButton="0" quotePrefix="0" xfId="0">
      <alignment horizontal="left" vertical="center" wrapText="1" shrinkToFit="1"/>
    </xf>
    <xf numFmtId="164" fontId="2" fillId="2" borderId="4" applyAlignment="1" pivotButton="0" quotePrefix="0" xfId="0">
      <alignment horizontal="centerContinuous" vertical="center"/>
    </xf>
    <xf numFmtId="164" fontId="4" fillId="0" borderId="4" applyAlignment="1" pivotButton="0" quotePrefix="0" xfId="0">
      <alignment vertical="center"/>
    </xf>
    <xf numFmtId="164" fontId="4" fillId="0" borderId="7" applyAlignment="1" pivotButton="0" quotePrefix="0" xfId="0">
      <alignment vertical="center"/>
    </xf>
    <xf numFmtId="164" fontId="2" fillId="0" borderId="8" applyAlignment="1" pivotButton="0" quotePrefix="0" xfId="0">
      <alignment horizontal="left" vertical="center"/>
    </xf>
    <xf numFmtId="165" fontId="2" fillId="0" borderId="8" applyAlignment="1" pivotButton="0" quotePrefix="0" xfId="0">
      <alignment horizontal="right" vertical="center" shrinkToFit="1"/>
    </xf>
    <xf numFmtId="165" fontId="2" fillId="0" borderId="9" applyAlignment="1" pivotButton="0" quotePrefix="0" xfId="0">
      <alignment horizontal="right" vertical="center" shrinkToFit="1"/>
    </xf>
    <xf numFmtId="49" fontId="2" fillId="2" borderId="112" applyAlignment="1" pivotButton="0" quotePrefix="0" xfId="0">
      <alignment horizontal="center" vertical="center"/>
    </xf>
    <xf numFmtId="164" fontId="2" fillId="2" borderId="52" applyAlignment="1" pivotButton="0" quotePrefix="0" xfId="0">
      <alignment horizontal="center" vertical="center" wrapText="1"/>
    </xf>
    <xf numFmtId="164" fontId="2" fillId="2" borderId="51" applyAlignment="1" pivotButton="0" quotePrefix="0" xfId="0">
      <alignment horizontal="center" vertical="center" wrapText="1"/>
    </xf>
    <xf numFmtId="164" fontId="2" fillId="2" borderId="16" applyAlignment="1" pivotButton="0" quotePrefix="0" xfId="0">
      <alignment horizontal="center" vertical="center"/>
    </xf>
    <xf numFmtId="0" fontId="0" fillId="0" borderId="16" pivotButton="0" quotePrefix="0" xfId="0"/>
    <xf numFmtId="164" fontId="2" fillId="2" borderId="120" applyAlignment="1" pivotButton="0" quotePrefix="0" xfId="0">
      <alignment horizontal="center" vertical="center"/>
    </xf>
    <xf numFmtId="0" fontId="0" fillId="0" borderId="18" pivotButton="0" quotePrefix="0" xfId="0"/>
    <xf numFmtId="164" fontId="2" fillId="2" borderId="20" applyAlignment="1" pivotButton="0" quotePrefix="0" xfId="0">
      <alignment horizontal="center" vertical="center" wrapText="1"/>
    </xf>
    <xf numFmtId="0" fontId="0" fillId="0" borderId="114" pivotButton="0" quotePrefix="0" xfId="0"/>
    <xf numFmtId="0" fontId="0" fillId="0" borderId="115" pivotButton="0" quotePrefix="0" xfId="0"/>
    <xf numFmtId="0" fontId="0" fillId="0" borderId="118" pivotButton="0" quotePrefix="0" xfId="0"/>
    <xf numFmtId="166" fontId="2" fillId="2" borderId="24" applyAlignment="1" pivotButton="0" quotePrefix="0" xfId="0">
      <alignment horizontal="center" vertical="center" wrapText="1"/>
    </xf>
    <xf numFmtId="167" fontId="2" fillId="2" borderId="25" applyAlignment="1" pivotButton="0" quotePrefix="0" xfId="0">
      <alignment horizontal="center" vertical="center" wrapText="1"/>
    </xf>
    <xf numFmtId="167" fontId="2" fillId="2" borderId="26" applyAlignment="1" pivotButton="0" quotePrefix="0" xfId="0">
      <alignment horizontal="center" vertical="center" wrapText="1"/>
    </xf>
    <xf numFmtId="166" fontId="2" fillId="2" borderId="27" applyAlignment="1" pivotButton="0" quotePrefix="0" xfId="0">
      <alignment horizontal="center" vertical="center" wrapText="1"/>
    </xf>
    <xf numFmtId="167" fontId="2" fillId="2" borderId="28" applyAlignment="1" pivotButton="0" quotePrefix="0" xfId="0">
      <alignment horizontal="center" vertical="center" wrapText="1"/>
    </xf>
    <xf numFmtId="168" fontId="2" fillId="2" borderId="25" applyAlignment="1" pivotButton="0" quotePrefix="0" xfId="0">
      <alignment horizontal="center" vertical="center" wrapText="1"/>
    </xf>
    <xf numFmtId="168" fontId="2" fillId="2" borderId="28" applyAlignment="1" pivotButton="0" quotePrefix="0" xfId="0">
      <alignment horizontal="center" vertical="center" wrapText="1"/>
    </xf>
    <xf numFmtId="166" fontId="2" fillId="2" borderId="29" applyAlignment="1" pivotButton="0" quotePrefix="0" xfId="0">
      <alignment horizontal="center" vertical="center" wrapText="1"/>
    </xf>
    <xf numFmtId="164" fontId="2" fillId="2" borderId="30" applyAlignment="1" pivotButton="0" quotePrefix="0" xfId="0">
      <alignment horizontal="center" vertical="center" wrapText="1"/>
    </xf>
    <xf numFmtId="164" fontId="2" fillId="2" borderId="31" applyAlignment="1" pivotButton="0" quotePrefix="0" xfId="0">
      <alignment horizontal="center" vertical="center" wrapText="1"/>
    </xf>
    <xf numFmtId="0" fontId="0" fillId="0" borderId="99" pivotButton="0" quotePrefix="0" xfId="0"/>
    <xf numFmtId="0" fontId="0" fillId="0" borderId="121" pivotButton="0" quotePrefix="0" xfId="0"/>
    <xf numFmtId="164" fontId="4" fillId="0" borderId="32" applyAlignment="1" pivotButton="0" quotePrefix="0" xfId="0">
      <alignment horizontal="left" vertical="center" wrapText="1"/>
    </xf>
    <xf numFmtId="165" fontId="2" fillId="0" borderId="33" applyAlignment="1" pivotButton="0" quotePrefix="0" xfId="0">
      <alignment horizontal="right" vertical="center" wrapText="1"/>
    </xf>
    <xf numFmtId="165" fontId="2" fillId="0" borderId="34" applyAlignment="1" pivotButton="0" quotePrefix="0" xfId="0">
      <alignment horizontal="right" vertical="center" wrapText="1"/>
    </xf>
    <xf numFmtId="165" fontId="2" fillId="0" borderId="35" applyAlignment="1" pivotButton="0" quotePrefix="0" xfId="0">
      <alignment vertical="center"/>
    </xf>
    <xf numFmtId="165" fontId="2" fillId="0" borderId="36" applyAlignment="1" pivotButton="0" quotePrefix="0" xfId="0">
      <alignment vertical="center"/>
    </xf>
    <xf numFmtId="165" fontId="2" fillId="0" borderId="38" applyAlignment="1" pivotButton="0" quotePrefix="0" xfId="0">
      <alignment horizontal="right" vertical="center" wrapText="1"/>
    </xf>
    <xf numFmtId="165" fontId="2" fillId="0" borderId="5" applyAlignment="1" pivotButton="0" quotePrefix="0" xfId="0">
      <alignment horizontal="right" vertical="center" wrapText="1"/>
    </xf>
    <xf numFmtId="165" fontId="2" fillId="0" borderId="5" applyAlignment="1" pivotButton="0" quotePrefix="0" xfId="0">
      <alignment vertical="center"/>
    </xf>
    <xf numFmtId="165" fontId="2" fillId="0" borderId="6" applyAlignment="1" pivotButton="0" quotePrefix="0" xfId="0">
      <alignment vertical="center"/>
    </xf>
    <xf numFmtId="164" fontId="6" fillId="2" borderId="40" applyAlignment="1" pivotButton="0" quotePrefix="0" xfId="0">
      <alignment horizontal="center" vertical="center" wrapText="1"/>
    </xf>
    <xf numFmtId="165" fontId="2" fillId="2" borderId="41" applyAlignment="1" pivotButton="0" quotePrefix="0" xfId="0">
      <alignment horizontal="right" vertical="center" wrapText="1"/>
    </xf>
    <xf numFmtId="165" fontId="2" fillId="2" borderId="42" applyAlignment="1" pivotButton="0" quotePrefix="0" xfId="0">
      <alignment horizontal="right" vertical="center" wrapText="1"/>
    </xf>
    <xf numFmtId="165" fontId="2" fillId="2" borderId="42" applyAlignment="1" pivotButton="0" quotePrefix="0" xfId="0">
      <alignment vertical="center"/>
    </xf>
    <xf numFmtId="165" fontId="2" fillId="2" borderId="43" applyAlignment="1" pivotButton="0" quotePrefix="0" xfId="0">
      <alignment vertical="center"/>
    </xf>
    <xf numFmtId="165" fontId="2" fillId="0" borderId="34" applyAlignment="1" pivotButton="0" quotePrefix="0" xfId="0">
      <alignment horizontal="right" vertical="center"/>
    </xf>
    <xf numFmtId="165" fontId="2" fillId="0" borderId="34" applyAlignment="1" pivotButton="0" quotePrefix="0" xfId="0">
      <alignment vertical="center"/>
    </xf>
    <xf numFmtId="165" fontId="2" fillId="0" borderId="44" applyAlignment="1" pivotButton="0" quotePrefix="0" xfId="0">
      <alignment vertical="center"/>
    </xf>
    <xf numFmtId="165" fontId="2" fillId="2" borderId="42" applyAlignment="1" pivotButton="0" quotePrefix="0" xfId="0">
      <alignment horizontal="right" vertical="center"/>
    </xf>
    <xf numFmtId="165" fontId="2" fillId="2" borderId="38" applyAlignment="1" pivotButton="0" quotePrefix="0" xfId="0">
      <alignment horizontal="right" vertical="center" wrapText="1"/>
    </xf>
    <xf numFmtId="165" fontId="2" fillId="2" borderId="5" applyAlignment="1" pivotButton="0" quotePrefix="0" xfId="0">
      <alignment horizontal="right" vertical="center" wrapText="1"/>
    </xf>
    <xf numFmtId="165" fontId="2" fillId="2" borderId="5" applyAlignment="1" pivotButton="0" quotePrefix="0" xfId="0">
      <alignment horizontal="right" vertical="center"/>
    </xf>
    <xf numFmtId="165" fontId="2" fillId="2" borderId="5" applyAlignment="1" pivotButton="0" quotePrefix="0" xfId="0">
      <alignment vertical="center"/>
    </xf>
    <xf numFmtId="165" fontId="2" fillId="2" borderId="6" applyAlignment="1" pivotButton="0" quotePrefix="0" xfId="0">
      <alignment vertical="center"/>
    </xf>
    <xf numFmtId="164" fontId="4" fillId="0" borderId="45" applyAlignment="1" pivotButton="0" quotePrefix="0" xfId="0">
      <alignment horizontal="center" vertical="center"/>
    </xf>
    <xf numFmtId="165" fontId="2" fillId="0" borderId="46" applyAlignment="1" pivotButton="0" quotePrefix="0" xfId="0">
      <alignment vertical="center"/>
    </xf>
    <xf numFmtId="165" fontId="2" fillId="0" borderId="8" applyAlignment="1" pivotButton="0" quotePrefix="0" xfId="0">
      <alignment vertical="center"/>
    </xf>
    <xf numFmtId="165" fontId="2" fillId="0" borderId="9" applyAlignment="1" pivotButton="0" quotePrefix="0" xfId="0">
      <alignment vertical="center"/>
    </xf>
    <xf numFmtId="164" fontId="2" fillId="2" borderId="10" applyAlignment="1" pivotButton="0" quotePrefix="0" xfId="0">
      <alignment horizontal="center" vertical="center" wrapText="1"/>
    </xf>
    <xf numFmtId="169" fontId="2" fillId="2" borderId="12" applyAlignment="1" pivotButton="0" quotePrefix="0" xfId="0">
      <alignment horizontal="center" vertical="center" wrapText="1"/>
    </xf>
    <xf numFmtId="169" fontId="2" fillId="2" borderId="48" applyAlignment="1" pivotButton="0" quotePrefix="0" xfId="0">
      <alignment horizontal="center" vertical="center" wrapText="1"/>
    </xf>
    <xf numFmtId="164" fontId="2" fillId="2" borderId="49" applyAlignment="1" pivotButton="0" quotePrefix="0" xfId="0">
      <alignment horizontal="center" vertical="center"/>
    </xf>
    <xf numFmtId="170" fontId="2" fillId="2" borderId="50" applyAlignment="1" pivotButton="0" quotePrefix="0" xfId="0">
      <alignment horizontal="center" vertical="center" wrapText="1"/>
    </xf>
    <xf numFmtId="170" fontId="2" fillId="2" borderId="51" applyAlignment="1" pivotButton="0" quotePrefix="0" xfId="0">
      <alignment horizontal="center" vertical="center" wrapText="1"/>
    </xf>
    <xf numFmtId="164" fontId="2" fillId="2" borderId="52" applyAlignment="1" pivotButton="0" quotePrefix="0" xfId="0">
      <alignment horizontal="center" vertical="center"/>
    </xf>
    <xf numFmtId="170" fontId="2" fillId="2" borderId="53" applyAlignment="1" pivotButton="0" quotePrefix="0" xfId="0">
      <alignment horizontal="center" vertical="center" wrapText="1"/>
    </xf>
    <xf numFmtId="164" fontId="2" fillId="2" borderId="19" applyAlignment="1" pivotButton="0" quotePrefix="0" xfId="0">
      <alignment horizontal="center" vertical="center" wrapText="1"/>
    </xf>
    <xf numFmtId="164" fontId="2" fillId="2" borderId="22" applyAlignment="1" pivotButton="0" quotePrefix="0" xfId="0">
      <alignment horizontal="center" vertical="center" wrapText="1"/>
    </xf>
    <xf numFmtId="169" fontId="2" fillId="0" borderId="56" applyAlignment="1" pivotButton="0" quotePrefix="0" xfId="0">
      <alignment horizontal="left" vertical="center"/>
    </xf>
    <xf numFmtId="165" fontId="2" fillId="0" borderId="57" applyAlignment="1" pivotButton="0" quotePrefix="0" xfId="0">
      <alignment horizontal="center" vertical="center"/>
    </xf>
    <xf numFmtId="165" fontId="2" fillId="0" borderId="58" applyAlignment="1" pivotButton="0" quotePrefix="0" xfId="0">
      <alignment horizontal="center" vertical="center"/>
    </xf>
    <xf numFmtId="165" fontId="2" fillId="0" borderId="59" applyAlignment="1" pivotButton="0" quotePrefix="0" xfId="0">
      <alignment horizontal="center" vertical="center"/>
    </xf>
    <xf numFmtId="165" fontId="2" fillId="0" borderId="60" applyAlignment="1" pivotButton="0" quotePrefix="0" xfId="0">
      <alignment horizontal="center" vertical="center"/>
    </xf>
    <xf numFmtId="165" fontId="2" fillId="0" borderId="56" applyAlignment="1" pivotButton="0" quotePrefix="0" xfId="0">
      <alignment horizontal="center" vertical="center"/>
    </xf>
    <xf numFmtId="171" fontId="2" fillId="0" borderId="59" applyAlignment="1" pivotButton="0" quotePrefix="0" xfId="0">
      <alignment horizontal="center" vertical="center"/>
    </xf>
    <xf numFmtId="164" fontId="2" fillId="0" borderId="61" applyAlignment="1" pivotButton="0" quotePrefix="0" xfId="0">
      <alignment vertical="center"/>
    </xf>
    <xf numFmtId="169" fontId="10" fillId="0" borderId="63" applyAlignment="1" applyProtection="1" pivotButton="0" quotePrefix="0" xfId="0">
      <alignment horizontal="left" vertical="center" shrinkToFit="1"/>
      <protection locked="0" hidden="1"/>
    </xf>
    <xf numFmtId="165" fontId="10" fillId="0" borderId="64" applyAlignment="1" applyProtection="1" pivotButton="0" quotePrefix="0" xfId="0">
      <alignment horizontal="center" vertical="center" shrinkToFit="1"/>
      <protection locked="0" hidden="1"/>
    </xf>
    <xf numFmtId="165" fontId="2" fillId="0" borderId="65" applyAlignment="1" applyProtection="1" pivotButton="0" quotePrefix="0" xfId="0">
      <alignment vertical="center"/>
      <protection locked="0" hidden="0"/>
    </xf>
    <xf numFmtId="165" fontId="2" fillId="0" borderId="66" applyAlignment="1" applyProtection="1" pivotButton="0" quotePrefix="0" xfId="0">
      <alignment vertical="center"/>
      <protection locked="0" hidden="0"/>
    </xf>
    <xf numFmtId="165" fontId="2" fillId="0" borderId="64" applyAlignment="1" applyProtection="1" pivotButton="0" quotePrefix="0" xfId="0">
      <alignment vertical="center"/>
      <protection locked="0" hidden="0"/>
    </xf>
    <xf numFmtId="164" fontId="2" fillId="0" borderId="67" applyAlignment="1" pivotButton="0" quotePrefix="0" xfId="0">
      <alignment vertical="center"/>
    </xf>
    <xf numFmtId="165" fontId="2" fillId="0" borderId="65" applyAlignment="1" pivotButton="0" quotePrefix="0" xfId="0">
      <alignment vertical="center"/>
    </xf>
    <xf numFmtId="165" fontId="2" fillId="0" borderId="66" applyAlignment="1" pivotButton="0" quotePrefix="0" xfId="0">
      <alignment vertical="center"/>
    </xf>
    <xf numFmtId="165" fontId="2" fillId="0" borderId="64" applyAlignment="1" pivotButton="0" quotePrefix="0" xfId="0">
      <alignment vertical="center"/>
    </xf>
    <xf numFmtId="169" fontId="6" fillId="0" borderId="63" applyAlignment="1" pivotButton="0" quotePrefix="0" xfId="0">
      <alignment horizontal="center" vertical="center"/>
    </xf>
    <xf numFmtId="169" fontId="10" fillId="0" borderId="63" applyAlignment="1" applyProtection="1" pivotButton="0" quotePrefix="0" xfId="0">
      <alignment horizontal="left" vertical="center"/>
      <protection locked="0" hidden="1"/>
    </xf>
    <xf numFmtId="169" fontId="2" fillId="0" borderId="63" applyAlignment="1" pivotButton="0" quotePrefix="0" xfId="0">
      <alignment vertical="center"/>
    </xf>
    <xf numFmtId="169" fontId="10" fillId="0" borderId="69" applyAlignment="1" applyProtection="1" pivotButton="0" quotePrefix="0" xfId="0">
      <alignment horizontal="left" vertical="center"/>
      <protection locked="0" hidden="1"/>
    </xf>
    <xf numFmtId="165" fontId="10" fillId="0" borderId="70" applyAlignment="1" applyProtection="1" pivotButton="0" quotePrefix="0" xfId="0">
      <alignment horizontal="center" vertical="center" shrinkToFit="1"/>
      <protection locked="0" hidden="1"/>
    </xf>
    <xf numFmtId="165" fontId="2" fillId="0" borderId="71" applyAlignment="1" applyProtection="1" pivotButton="0" quotePrefix="0" xfId="0">
      <alignment vertical="center"/>
      <protection locked="0" hidden="0"/>
    </xf>
    <xf numFmtId="165" fontId="2" fillId="0" borderId="72" applyAlignment="1" applyProtection="1" pivotButton="0" quotePrefix="0" xfId="0">
      <alignment vertical="center"/>
      <protection locked="0" hidden="0"/>
    </xf>
    <xf numFmtId="165" fontId="2" fillId="0" borderId="14" applyAlignment="1" pivotButton="0" quotePrefix="0" xfId="0">
      <alignment horizontal="center" vertical="center"/>
    </xf>
    <xf numFmtId="165" fontId="2" fillId="0" borderId="73" applyAlignment="1" applyProtection="1" pivotButton="0" quotePrefix="0" xfId="0">
      <alignment vertical="center"/>
      <protection locked="0" hidden="0"/>
    </xf>
    <xf numFmtId="164" fontId="2" fillId="0" borderId="74" applyAlignment="1" pivotButton="0" quotePrefix="0" xfId="0">
      <alignment vertical="center"/>
    </xf>
    <xf numFmtId="169" fontId="10" fillId="0" borderId="76" applyAlignment="1" applyProtection="1" pivotButton="0" quotePrefix="0" xfId="0">
      <alignment horizontal="left" vertical="center"/>
      <protection locked="0" hidden="1"/>
    </xf>
    <xf numFmtId="165" fontId="10" fillId="0" borderId="57" applyAlignment="1" applyProtection="1" pivotButton="0" quotePrefix="0" xfId="0">
      <alignment horizontal="center" vertical="center" shrinkToFit="1"/>
      <protection locked="0" hidden="1"/>
    </xf>
    <xf numFmtId="165" fontId="2" fillId="0" borderId="77" applyAlignment="1" pivotButton="0" quotePrefix="0" xfId="0">
      <alignment horizontal="center" vertical="center"/>
    </xf>
    <xf numFmtId="165" fontId="2" fillId="0" borderId="78" applyAlignment="1" applyProtection="1" pivotButton="0" quotePrefix="0" xfId="0">
      <alignment vertical="center"/>
      <protection locked="0" hidden="0"/>
    </xf>
    <xf numFmtId="165" fontId="2" fillId="0" borderId="79" applyAlignment="1" applyProtection="1" pivotButton="0" quotePrefix="0" xfId="0">
      <alignment vertical="center"/>
      <protection locked="0" hidden="0"/>
    </xf>
    <xf numFmtId="165" fontId="2" fillId="0" borderId="80" applyAlignment="1" applyProtection="1" pivotButton="0" quotePrefix="0" xfId="0">
      <alignment vertical="center"/>
      <protection locked="0" hidden="0"/>
    </xf>
    <xf numFmtId="165" fontId="2" fillId="0" borderId="76" applyAlignment="1" pivotButton="0" quotePrefix="0" xfId="0">
      <alignment horizontal="center" vertical="center"/>
    </xf>
    <xf numFmtId="164" fontId="2" fillId="0" borderId="81" applyAlignment="1" pivotButton="0" quotePrefix="0" xfId="0">
      <alignment vertical="center"/>
    </xf>
    <xf numFmtId="165" fontId="2" fillId="0" borderId="82" applyAlignment="1" pivotButton="0" quotePrefix="0" xfId="0">
      <alignment horizontal="center" vertical="center"/>
    </xf>
    <xf numFmtId="165" fontId="2" fillId="0" borderId="63" applyAlignment="1" pivotButton="0" quotePrefix="0" xfId="0">
      <alignment horizontal="center" vertical="center"/>
    </xf>
    <xf numFmtId="169" fontId="6" fillId="0" borderId="63" applyAlignment="1" pivotButton="0" quotePrefix="0" xfId="0">
      <alignment horizontal="centerContinuous" vertical="center"/>
    </xf>
    <xf numFmtId="165" fontId="2" fillId="0" borderId="64" applyAlignment="1" pivotButton="0" quotePrefix="0" xfId="0">
      <alignment horizontal="center" vertical="center"/>
    </xf>
    <xf numFmtId="169" fontId="2" fillId="2" borderId="84" applyAlignment="1" pivotButton="0" quotePrefix="0" xfId="0">
      <alignment horizontal="centerContinuous" vertical="center"/>
    </xf>
    <xf numFmtId="165" fontId="2" fillId="2" borderId="85" applyAlignment="1" pivotButton="0" quotePrefix="0" xfId="0">
      <alignment horizontal="center" vertical="center"/>
    </xf>
    <xf numFmtId="165" fontId="2" fillId="2" borderId="84" applyAlignment="1" pivotButton="0" quotePrefix="0" xfId="0">
      <alignment horizontal="center" vertical="center"/>
    </xf>
    <xf numFmtId="165" fontId="2" fillId="2" borderId="31" applyAlignment="1" pivotButton="0" quotePrefix="0" xfId="0">
      <alignment horizontal="center" vertical="center"/>
    </xf>
    <xf numFmtId="165" fontId="2" fillId="2" borderId="70" applyAlignment="1" pivotButton="0" quotePrefix="0" xfId="0">
      <alignment horizontal="center" vertical="center"/>
    </xf>
    <xf numFmtId="165" fontId="2" fillId="2" borderId="30" applyAlignment="1" pivotButton="0" quotePrefix="0" xfId="0">
      <alignment horizontal="center" vertical="center"/>
    </xf>
    <xf numFmtId="171" fontId="2" fillId="2" borderId="21" applyAlignment="1" pivotButton="0" quotePrefix="0" xfId="0">
      <alignment horizontal="center" vertical="center"/>
    </xf>
    <xf numFmtId="164" fontId="2" fillId="2" borderId="86" applyAlignment="1" pivotButton="0" quotePrefix="0" xfId="0">
      <alignment vertical="center"/>
    </xf>
    <xf numFmtId="169" fontId="2" fillId="0" borderId="88" applyAlignment="1" pivotButton="0" quotePrefix="0" xfId="0">
      <alignment horizontal="centerContinuous" vertical="center"/>
    </xf>
    <xf numFmtId="165" fontId="2" fillId="0" borderId="56" applyAlignment="1" pivotButton="0" quotePrefix="0" xfId="0">
      <alignment horizontal="right" vertical="center"/>
    </xf>
    <xf numFmtId="165" fontId="2" fillId="0" borderId="59" applyAlignment="1" pivotButton="0" quotePrefix="0" xfId="0">
      <alignment vertical="center"/>
    </xf>
    <xf numFmtId="165" fontId="2" fillId="0" borderId="57" applyAlignment="1" pivotButton="0" quotePrefix="0" xfId="0">
      <alignment vertical="center"/>
    </xf>
    <xf numFmtId="165" fontId="2" fillId="0" borderId="58" applyAlignment="1" pivotButton="0" quotePrefix="0" xfId="0">
      <alignment horizontal="right" vertical="center"/>
    </xf>
    <xf numFmtId="165" fontId="2" fillId="0" borderId="59" applyAlignment="1" pivotButton="0" quotePrefix="0" xfId="0">
      <alignment horizontal="right" vertical="center"/>
    </xf>
    <xf numFmtId="171" fontId="2" fillId="2" borderId="59" applyAlignment="1" pivotButton="0" quotePrefix="0" xfId="0">
      <alignment horizontal="center" vertical="center"/>
    </xf>
    <xf numFmtId="164" fontId="2" fillId="2" borderId="61" applyAlignment="1" pivotButton="0" quotePrefix="0" xfId="0">
      <alignment vertical="center"/>
    </xf>
    <xf numFmtId="169" fontId="2" fillId="2" borderId="90" applyAlignment="1" pivotButton="0" quotePrefix="0" xfId="0">
      <alignment horizontal="centerContinuous" vertical="center"/>
    </xf>
    <xf numFmtId="165" fontId="2" fillId="2" borderId="91" applyAlignment="1" pivotButton="0" quotePrefix="0" xfId="0">
      <alignment horizontal="center" vertical="center"/>
    </xf>
    <xf numFmtId="165" fontId="2" fillId="2" borderId="90" applyAlignment="1" pivotButton="0" quotePrefix="0" xfId="0">
      <alignment horizontal="center" vertical="center"/>
    </xf>
    <xf numFmtId="165" fontId="2" fillId="2" borderId="92" applyAlignment="1" pivotButton="0" quotePrefix="0" xfId="0">
      <alignment horizontal="center" vertical="center"/>
    </xf>
    <xf numFmtId="165" fontId="2" fillId="2" borderId="93" applyAlignment="1" pivotButton="0" quotePrefix="0" xfId="0">
      <alignment horizontal="center" vertical="center"/>
    </xf>
    <xf numFmtId="165" fontId="2" fillId="2" borderId="94" applyAlignment="1" pivotButton="0" quotePrefix="0" xfId="0">
      <alignment horizontal="center" vertical="center"/>
    </xf>
    <xf numFmtId="171" fontId="2" fillId="2" borderId="92" applyAlignment="1" pivotButton="0" quotePrefix="0" xfId="0">
      <alignment horizontal="center" vertical="center"/>
    </xf>
    <xf numFmtId="164" fontId="2" fillId="2" borderId="95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164" fontId="2" fillId="0" borderId="0" applyAlignment="1" pivotButton="0" quotePrefix="0" xfId="0">
      <alignment horizontal="left" vertical="center"/>
    </xf>
    <xf numFmtId="164" fontId="2" fillId="2" borderId="112" applyAlignment="1" pivotButton="0" quotePrefix="0" xfId="0">
      <alignment horizontal="center" vertical="center" wrapText="1"/>
    </xf>
    <xf numFmtId="164" fontId="2" fillId="2" borderId="96" applyAlignment="1" pivotButton="0" quotePrefix="0" xfId="0">
      <alignment horizontal="center" vertical="center" wrapText="1"/>
    </xf>
    <xf numFmtId="164" fontId="2" fillId="2" borderId="23" applyAlignment="1" pivotButton="0" quotePrefix="0" xfId="0">
      <alignment horizontal="center" vertical="center" wrapText="1"/>
    </xf>
    <xf numFmtId="164" fontId="2" fillId="2" borderId="24" applyAlignment="1" pivotButton="0" quotePrefix="0" xfId="0">
      <alignment horizontal="center" vertical="center"/>
    </xf>
    <xf numFmtId="164" fontId="2" fillId="2" borderId="25" applyAlignment="1" pivotButton="0" quotePrefix="0" xfId="0">
      <alignment horizontal="center" vertical="center"/>
    </xf>
    <xf numFmtId="164" fontId="2" fillId="2" borderId="28" applyAlignment="1" pivotButton="0" quotePrefix="0" xfId="0">
      <alignment horizontal="center" vertical="center"/>
    </xf>
    <xf numFmtId="164" fontId="2" fillId="2" borderId="26" applyAlignment="1" pivotButton="0" quotePrefix="0" xfId="0">
      <alignment horizontal="center" vertical="center"/>
    </xf>
    <xf numFmtId="164" fontId="2" fillId="2" borderId="27" applyAlignment="1" pivotButton="0" quotePrefix="0" xfId="0">
      <alignment horizontal="center" vertical="center"/>
    </xf>
    <xf numFmtId="0" fontId="0" fillId="0" borderId="123" pivotButton="0" quotePrefix="0" xfId="0"/>
    <xf numFmtId="164" fontId="4" fillId="0" borderId="55" applyAlignment="1" pivotButton="0" quotePrefix="0" xfId="0">
      <alignment horizontal="left" vertical="center"/>
    </xf>
    <xf numFmtId="165" fontId="2" fillId="0" borderId="59" applyAlignment="1" pivotButton="0" quotePrefix="0" xfId="0">
      <alignment horizontal="right"/>
    </xf>
    <xf numFmtId="165" fontId="2" fillId="0" borderId="60" applyAlignment="1" pivotButton="0" quotePrefix="0" xfId="0">
      <alignment horizontal="right"/>
    </xf>
    <xf numFmtId="164" fontId="2" fillId="0" borderId="61" applyAlignment="1" pivotButton="0" quotePrefix="0" xfId="0">
      <alignment horizontal="center" vertical="center"/>
    </xf>
    <xf numFmtId="165" fontId="2" fillId="0" borderId="65" applyAlignment="1" pivotButton="0" quotePrefix="0" xfId="0">
      <alignment horizontal="center" vertical="center"/>
    </xf>
    <xf numFmtId="165" fontId="2" fillId="0" borderId="66" applyAlignment="1" pivotButton="0" quotePrefix="0" xfId="0">
      <alignment horizontal="center" vertical="center"/>
    </xf>
    <xf numFmtId="166" fontId="2" fillId="0" borderId="67" applyAlignment="1" pivotButton="0" quotePrefix="0" xfId="0">
      <alignment horizontal="center" vertical="center"/>
    </xf>
    <xf numFmtId="165" fontId="4" fillId="0" borderId="65" applyAlignment="1" pivotButton="0" quotePrefix="0" xfId="0">
      <alignment horizontal="center" vertical="center"/>
    </xf>
    <xf numFmtId="165" fontId="2" fillId="2" borderId="69" applyAlignment="1" pivotButton="0" quotePrefix="0" xfId="0">
      <alignment horizontal="center" vertical="center"/>
    </xf>
    <xf numFmtId="165" fontId="2" fillId="2" borderId="71" applyAlignment="1" pivotButton="0" quotePrefix="0" xfId="0">
      <alignment horizontal="center" vertical="center"/>
    </xf>
    <xf numFmtId="165" fontId="2" fillId="2" borderId="73" applyAlignment="1" pivotButton="0" quotePrefix="0" xfId="0">
      <alignment horizontal="center" vertical="center"/>
    </xf>
    <xf numFmtId="165" fontId="2" fillId="2" borderId="98" applyAlignment="1" pivotButton="0" quotePrefix="0" xfId="0">
      <alignment horizontal="center" vertical="center"/>
    </xf>
    <xf numFmtId="166" fontId="2" fillId="2" borderId="74" applyAlignment="1" pivotButton="0" quotePrefix="0" xfId="0">
      <alignment horizontal="center" vertical="center"/>
    </xf>
    <xf numFmtId="165" fontId="2" fillId="0" borderId="78" applyAlignment="1" pivotButton="0" quotePrefix="0" xfId="0">
      <alignment horizontal="right"/>
    </xf>
    <xf numFmtId="165" fontId="2" fillId="0" borderId="79" applyAlignment="1" pivotButton="0" quotePrefix="0" xfId="0">
      <alignment horizontal="right"/>
    </xf>
    <xf numFmtId="165" fontId="2" fillId="0" borderId="78" applyAlignment="1" pivotButton="0" quotePrefix="0" xfId="0">
      <alignment horizontal="center" vertical="center"/>
    </xf>
    <xf numFmtId="165" fontId="2" fillId="0" borderId="80" applyAlignment="1" pivotButton="0" quotePrefix="0" xfId="0">
      <alignment horizontal="center" vertical="center"/>
    </xf>
    <xf numFmtId="165" fontId="2" fillId="0" borderId="79" applyAlignment="1" pivotButton="0" quotePrefix="0" xfId="0">
      <alignment horizontal="center" vertical="center"/>
    </xf>
    <xf numFmtId="165" fontId="2" fillId="0" borderId="99" applyAlignment="1" pivotButton="0" quotePrefix="0" xfId="0">
      <alignment horizontal="center" vertical="center"/>
    </xf>
    <xf numFmtId="166" fontId="2" fillId="0" borderId="81" applyAlignment="1" pivotButton="0" quotePrefix="0" xfId="0">
      <alignment horizontal="center" vertical="center"/>
    </xf>
    <xf numFmtId="165" fontId="2" fillId="0" borderId="65" applyAlignment="1" pivotButton="0" quotePrefix="0" xfId="0">
      <alignment horizontal="right"/>
    </xf>
    <xf numFmtId="165" fontId="2" fillId="0" borderId="66" applyAlignment="1" pivotButton="0" quotePrefix="0" xfId="0">
      <alignment horizontal="right"/>
    </xf>
    <xf numFmtId="165" fontId="2" fillId="0" borderId="71" applyAlignment="1" pivotButton="0" quotePrefix="0" xfId="0">
      <alignment horizontal="center" vertical="center"/>
    </xf>
    <xf numFmtId="164" fontId="2" fillId="0" borderId="62" applyAlignment="1" pivotButton="0" quotePrefix="0" xfId="0">
      <alignment horizontal="left" vertical="center" indent="1"/>
    </xf>
    <xf numFmtId="165" fontId="4" fillId="0" borderId="65" applyAlignment="1" pivotButton="0" quotePrefix="0" xfId="0">
      <alignment horizontal="right"/>
    </xf>
    <xf numFmtId="165" fontId="4" fillId="0" borderId="66" applyAlignment="1" pivotButton="0" quotePrefix="0" xfId="0">
      <alignment horizontal="right"/>
    </xf>
    <xf numFmtId="165" fontId="4" fillId="0" borderId="64" applyAlignment="1" pivotButton="0" quotePrefix="0" xfId="0">
      <alignment horizontal="center" vertical="center"/>
    </xf>
    <xf numFmtId="165" fontId="4" fillId="0" borderId="66" applyAlignment="1" pivotButton="0" quotePrefix="0" xfId="0">
      <alignment horizontal="center" vertical="center"/>
    </xf>
    <xf numFmtId="164" fontId="2" fillId="0" borderId="68" applyAlignment="1" pivotButton="0" quotePrefix="0" xfId="0">
      <alignment horizontal="left" vertical="center" wrapText="1" indent="1"/>
    </xf>
    <xf numFmtId="165" fontId="4" fillId="0" borderId="71" applyAlignment="1" pivotButton="0" quotePrefix="0" xfId="0">
      <alignment horizontal="right"/>
    </xf>
    <xf numFmtId="165" fontId="4" fillId="0" borderId="72" applyAlignment="1" pivotButton="0" quotePrefix="0" xfId="0">
      <alignment horizontal="right"/>
    </xf>
    <xf numFmtId="165" fontId="4" fillId="0" borderId="71" applyAlignment="1" pivotButton="0" quotePrefix="0" xfId="0">
      <alignment horizontal="center" vertical="center"/>
    </xf>
    <xf numFmtId="165" fontId="4" fillId="0" borderId="73" applyAlignment="1" pivotButton="0" quotePrefix="0" xfId="0">
      <alignment horizontal="center" vertical="center"/>
    </xf>
    <xf numFmtId="165" fontId="4" fillId="0" borderId="72" applyAlignment="1" pivotButton="0" quotePrefix="0" xfId="0">
      <alignment horizontal="center" vertical="center"/>
    </xf>
    <xf numFmtId="166" fontId="2" fillId="0" borderId="74" applyAlignment="1" pivotButton="0" quotePrefix="0" xfId="0">
      <alignment horizontal="center" vertical="center"/>
    </xf>
    <xf numFmtId="165" fontId="2" fillId="2" borderId="100" applyAlignment="1" pivotButton="0" quotePrefix="0" xfId="0">
      <alignment horizontal="center" vertical="center"/>
    </xf>
    <xf numFmtId="165" fontId="2" fillId="2" borderId="101" applyAlignment="1" pivotButton="0" quotePrefix="0" xfId="0">
      <alignment horizontal="center" vertical="center"/>
    </xf>
    <xf numFmtId="166" fontId="1" fillId="2" borderId="95" applyAlignment="1" pivotButton="0" quotePrefix="0" xfId="0">
      <alignment horizontal="center" vertical="center"/>
    </xf>
    <xf numFmtId="164" fontId="2" fillId="2" borderId="126" applyAlignment="1" pivotButton="0" quotePrefix="0" xfId="0">
      <alignment horizontal="center" vertical="center" wrapText="1"/>
    </xf>
    <xf numFmtId="164" fontId="2" fillId="2" borderId="50" applyAlignment="1" pivotButton="0" quotePrefix="0" xfId="0">
      <alignment horizontal="center" vertical="center" wrapText="1"/>
    </xf>
    <xf numFmtId="164" fontId="2" fillId="2" borderId="18" applyAlignment="1" pivotButton="0" quotePrefix="0" xfId="0">
      <alignment horizontal="center" vertical="center" wrapText="1"/>
    </xf>
    <xf numFmtId="0" fontId="0" fillId="0" borderId="128" pivotButton="0" quotePrefix="0" xfId="0"/>
    <xf numFmtId="0" fontId="0" fillId="0" borderId="129" pivotButton="0" quotePrefix="0" xfId="0"/>
    <xf numFmtId="172" fontId="2" fillId="2" borderId="24" applyAlignment="1" pivotButton="0" quotePrefix="0" xfId="0">
      <alignment horizontal="center" vertical="center" wrapText="1"/>
    </xf>
    <xf numFmtId="164" fontId="2" fillId="0" borderId="32" applyAlignment="1" applyProtection="1" pivotButton="0" quotePrefix="0" xfId="0">
      <alignment horizontal="left"/>
      <protection locked="0" hidden="0"/>
    </xf>
    <xf numFmtId="164" fontId="2" fillId="0" borderId="59" applyProtection="1" pivotButton="0" quotePrefix="0" xfId="0">
      <protection locked="0" hidden="0"/>
    </xf>
    <xf numFmtId="173" fontId="2" fillId="0" borderId="56" applyAlignment="1" pivotButton="0" quotePrefix="0" xfId="0">
      <alignment horizontal="center" vertical="center"/>
    </xf>
    <xf numFmtId="173" fontId="2" fillId="0" borderId="59" applyAlignment="1" applyProtection="1" pivotButton="0" quotePrefix="0" xfId="0">
      <alignment horizontal="center" vertical="center"/>
      <protection locked="0" hidden="0"/>
    </xf>
    <xf numFmtId="173" fontId="2" fillId="0" borderId="57" applyAlignment="1" applyProtection="1" pivotButton="0" quotePrefix="0" xfId="0">
      <alignment horizontal="center" vertical="center"/>
      <protection locked="0" hidden="0"/>
    </xf>
    <xf numFmtId="173" fontId="2" fillId="0" borderId="58" applyAlignment="1" pivotButton="0" quotePrefix="0" xfId="0">
      <alignment horizontal="center" vertical="center"/>
    </xf>
    <xf numFmtId="173" fontId="2" fillId="0" borderId="60" applyAlignment="1" applyProtection="1" pivotButton="0" quotePrefix="0" xfId="0">
      <alignment horizontal="center" vertical="center"/>
      <protection locked="0" hidden="0"/>
    </xf>
    <xf numFmtId="173" fontId="2" fillId="0" borderId="59" applyProtection="1" pivotButton="0" quotePrefix="0" xfId="0">
      <protection locked="0" hidden="0"/>
    </xf>
    <xf numFmtId="173" fontId="2" fillId="0" borderId="60" applyProtection="1" pivotButton="0" quotePrefix="0" xfId="0">
      <protection locked="0" hidden="0"/>
    </xf>
    <xf numFmtId="172" fontId="2" fillId="0" borderId="56" applyAlignment="1" pivotButton="0" quotePrefix="0" xfId="0">
      <alignment horizontal="center" vertical="center"/>
    </xf>
    <xf numFmtId="164" fontId="2" fillId="0" borderId="61" pivotButton="0" quotePrefix="0" xfId="0"/>
    <xf numFmtId="164" fontId="2" fillId="0" borderId="37" applyAlignment="1" applyProtection="1" pivotButton="0" quotePrefix="0" xfId="0">
      <alignment horizontal="left"/>
      <protection locked="0" hidden="0"/>
    </xf>
    <xf numFmtId="164" fontId="2" fillId="0" borderId="65" applyAlignment="1" applyProtection="1" pivotButton="0" quotePrefix="0" xfId="0">
      <alignment horizontal="left"/>
      <protection locked="0" hidden="0"/>
    </xf>
    <xf numFmtId="173" fontId="2" fillId="0" borderId="65" applyAlignment="1" applyProtection="1" pivotButton="0" quotePrefix="0" xfId="0">
      <alignment horizontal="center" vertical="center"/>
      <protection locked="0" hidden="0"/>
    </xf>
    <xf numFmtId="173" fontId="2" fillId="0" borderId="64" applyAlignment="1" applyProtection="1" pivotButton="0" quotePrefix="0" xfId="0">
      <alignment horizontal="center" vertical="center"/>
      <protection locked="0" hidden="0"/>
    </xf>
    <xf numFmtId="173" fontId="2" fillId="0" borderId="66" applyAlignment="1" applyProtection="1" pivotButton="0" quotePrefix="0" xfId="0">
      <alignment horizontal="center" vertical="center"/>
      <protection locked="0" hidden="0"/>
    </xf>
    <xf numFmtId="173" fontId="2" fillId="0" borderId="65" applyProtection="1" pivotButton="0" quotePrefix="0" xfId="0">
      <protection locked="0" hidden="0"/>
    </xf>
    <xf numFmtId="173" fontId="2" fillId="0" borderId="66" applyProtection="1" pivotButton="0" quotePrefix="0" xfId="0">
      <protection locked="0" hidden="0"/>
    </xf>
    <xf numFmtId="164" fontId="2" fillId="0" borderId="67" pivotButton="0" quotePrefix="0" xfId="0"/>
    <xf numFmtId="164" fontId="2" fillId="0" borderId="65" applyProtection="1" pivotButton="0" quotePrefix="0" xfId="0">
      <protection locked="0" hidden="0"/>
    </xf>
    <xf numFmtId="171" fontId="2" fillId="0" borderId="66" applyAlignment="1" applyProtection="1" pivotButton="0" quotePrefix="0" xfId="0">
      <alignment horizontal="center"/>
      <protection locked="0" hidden="0"/>
    </xf>
    <xf numFmtId="164" fontId="4" fillId="2" borderId="89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0" pivotButton="0" quotePrefix="0" xfId="0"/>
    <xf numFmtId="173" fontId="2" fillId="2" borderId="104" applyAlignment="1" pivotButton="0" quotePrefix="0" xfId="0">
      <alignment horizontal="center" vertical="center"/>
    </xf>
    <xf numFmtId="172" fontId="4" fillId="2" borderId="92" applyAlignment="1" pivotButton="0" quotePrefix="0" xfId="0">
      <alignment horizontal="center" vertical="center"/>
    </xf>
    <xf numFmtId="172" fontId="4" fillId="2" borderId="93" applyAlignment="1" pivotButton="0" quotePrefix="0" xfId="0">
      <alignment horizontal="center" vertical="center"/>
    </xf>
    <xf numFmtId="173" fontId="2" fillId="2" borderId="105" applyAlignment="1" pivotButton="0" quotePrefix="0" xfId="0">
      <alignment horizontal="center" vertical="center"/>
    </xf>
    <xf numFmtId="172" fontId="4" fillId="2" borderId="94" applyAlignment="1" pivotButton="0" quotePrefix="0" xfId="0">
      <alignment horizontal="center" vertical="center"/>
    </xf>
    <xf numFmtId="164" fontId="4" fillId="2" borderId="95" applyAlignment="1" pivotButton="0" quotePrefix="0" xfId="0">
      <alignment horizontal="center" vertical="center"/>
    </xf>
    <xf numFmtId="164" fontId="2" fillId="2" borderId="126" applyAlignment="1" pivotButton="0" quotePrefix="0" xfId="0">
      <alignment horizontal="center" vertical="center"/>
    </xf>
    <xf numFmtId="164" fontId="2" fillId="2" borderId="96" applyAlignment="1" pivotButton="0" quotePrefix="0" xfId="0">
      <alignment horizontal="center" vertical="center"/>
    </xf>
    <xf numFmtId="164" fontId="4" fillId="0" borderId="32" applyAlignment="1" pivotButton="0" quotePrefix="0" xfId="0">
      <alignment horizontal="left" vertical="center"/>
    </xf>
    <xf numFmtId="165" fontId="12" fillId="0" borderId="59" pivotButton="0" quotePrefix="0" xfId="0"/>
    <xf numFmtId="165" fontId="12" fillId="0" borderId="60" pivotButton="0" quotePrefix="0" xfId="0"/>
    <xf numFmtId="165" fontId="2" fillId="0" borderId="56" applyAlignment="1" pivotButton="0" quotePrefix="0" xfId="0">
      <alignment horizontal="center"/>
    </xf>
    <xf numFmtId="165" fontId="2" fillId="0" borderId="59" applyAlignment="1" pivotButton="0" quotePrefix="0" xfId="0">
      <alignment horizontal="center"/>
    </xf>
    <xf numFmtId="165" fontId="2" fillId="0" borderId="57" applyAlignment="1" pivotButton="0" quotePrefix="0" xfId="0">
      <alignment horizontal="center"/>
    </xf>
    <xf numFmtId="164" fontId="12" fillId="0" borderId="61" pivotButton="0" quotePrefix="0" xfId="0"/>
    <xf numFmtId="164" fontId="2" fillId="0" borderId="37" applyAlignment="1" pivotButton="0" quotePrefix="0" xfId="0">
      <alignment horizontal="left" vertical="center"/>
    </xf>
    <xf numFmtId="165" fontId="12" fillId="0" borderId="65" pivotButton="0" quotePrefix="0" xfId="0"/>
    <xf numFmtId="165" fontId="12" fillId="0" borderId="66" pivotButton="0" quotePrefix="0" xfId="0"/>
    <xf numFmtId="165" fontId="2" fillId="0" borderId="65" applyAlignment="1" pivotButton="0" quotePrefix="0" xfId="0">
      <alignment horizontal="center"/>
    </xf>
    <xf numFmtId="165" fontId="2" fillId="0" borderId="64" applyAlignment="1" pivotButton="0" quotePrefix="0" xfId="0">
      <alignment horizontal="center"/>
    </xf>
    <xf numFmtId="164" fontId="12" fillId="0" borderId="67" pivotButton="0" quotePrefix="0" xfId="0"/>
    <xf numFmtId="164" fontId="2" fillId="0" borderId="37" applyAlignment="1" pivotButton="0" quotePrefix="0" xfId="0">
      <alignment horizontal="left" vertical="center" indent="1"/>
    </xf>
    <xf numFmtId="164" fontId="2" fillId="0" borderId="39" applyAlignment="1" pivotButton="0" quotePrefix="0" xfId="0">
      <alignment horizontal="left" vertical="center" indent="1"/>
    </xf>
    <xf numFmtId="165" fontId="12" fillId="0" borderId="71" pivotButton="0" quotePrefix="0" xfId="0"/>
    <xf numFmtId="165" fontId="12" fillId="0" borderId="72" pivotButton="0" quotePrefix="0" xfId="0"/>
    <xf numFmtId="165" fontId="2" fillId="0" borderId="71" applyAlignment="1" pivotButton="0" quotePrefix="0" xfId="0">
      <alignment horizontal="center"/>
    </xf>
    <xf numFmtId="165" fontId="2" fillId="0" borderId="73" applyAlignment="1" pivotButton="0" quotePrefix="0" xfId="0">
      <alignment horizontal="center"/>
    </xf>
    <xf numFmtId="165" fontId="2" fillId="0" borderId="72" applyAlignment="1" pivotButton="0" quotePrefix="0" xfId="0">
      <alignment horizontal="center" vertical="center"/>
    </xf>
    <xf numFmtId="164" fontId="12" fillId="0" borderId="74" pivotButton="0" quotePrefix="0" xfId="0"/>
    <xf numFmtId="164" fontId="2" fillId="2" borderId="40" applyAlignment="1" pivotButton="0" quotePrefix="0" xfId="0">
      <alignment horizontal="center" vertical="center"/>
    </xf>
    <xf numFmtId="165" fontId="2" fillId="2" borderId="106" applyAlignment="1" pivotButton="0" quotePrefix="0" xfId="0">
      <alignment horizontal="center" vertical="center"/>
    </xf>
    <xf numFmtId="165" fontId="2" fillId="2" borderId="29" applyAlignment="1" pivotButton="0" quotePrefix="0" xfId="0">
      <alignment horizontal="center" vertical="center"/>
    </xf>
    <xf numFmtId="164" fontId="12" fillId="2" borderId="86" applyAlignment="1" pivotButton="0" quotePrefix="0" xfId="0">
      <alignment vertical="center"/>
    </xf>
    <xf numFmtId="165" fontId="12" fillId="0" borderId="56" pivotButton="0" quotePrefix="0" xfId="0"/>
    <xf numFmtId="165" fontId="12" fillId="0" borderId="57" pivotButton="0" quotePrefix="0" xfId="0"/>
    <xf numFmtId="165" fontId="12" fillId="0" borderId="58" pivotButton="0" quotePrefix="0" xfId="0"/>
    <xf numFmtId="165" fontId="2" fillId="0" borderId="65" pivotButton="0" quotePrefix="0" xfId="0"/>
    <xf numFmtId="165" fontId="2" fillId="0" borderId="66" pivotButton="0" quotePrefix="0" xfId="0"/>
    <xf numFmtId="165" fontId="12" fillId="0" borderId="63" pivotButton="0" quotePrefix="0" xfId="0"/>
    <xf numFmtId="165" fontId="12" fillId="0" borderId="64" pivotButton="0" quotePrefix="0" xfId="0"/>
    <xf numFmtId="165" fontId="12" fillId="0" borderId="82" pivotButton="0" quotePrefix="0" xfId="0"/>
    <xf numFmtId="165" fontId="2" fillId="0" borderId="71" pivotButton="0" quotePrefix="0" xfId="0"/>
    <xf numFmtId="165" fontId="2" fillId="0" borderId="72" pivotButton="0" quotePrefix="0" xfId="0"/>
    <xf numFmtId="165" fontId="12" fillId="0" borderId="69" pivotButton="0" quotePrefix="0" xfId="0"/>
    <xf numFmtId="165" fontId="12" fillId="0" borderId="73" pivotButton="0" quotePrefix="0" xfId="0"/>
    <xf numFmtId="165" fontId="12" fillId="0" borderId="98" pivotButton="0" quotePrefix="0" xfId="0"/>
    <xf numFmtId="165" fontId="2" fillId="2" borderId="107" applyAlignment="1" pivotButton="0" quotePrefix="0" xfId="0">
      <alignment horizontal="center" vertical="center"/>
    </xf>
    <xf numFmtId="164" fontId="12" fillId="2" borderId="86" pivotButton="0" quotePrefix="0" xfId="0"/>
    <xf numFmtId="165" fontId="2" fillId="0" borderId="108" applyAlignment="1" pivotButton="0" quotePrefix="0" xfId="0">
      <alignment horizontal="center" vertical="center"/>
    </xf>
    <xf numFmtId="165" fontId="2" fillId="0" borderId="109" applyAlignment="1" pivotButton="0" quotePrefix="0" xfId="0">
      <alignment horizontal="center" vertical="center"/>
    </xf>
    <xf numFmtId="165" fontId="2" fillId="0" borderId="110" applyAlignment="1" pivotButton="0" quotePrefix="0" xfId="0">
      <alignment horizontal="center" vertical="center"/>
    </xf>
    <xf numFmtId="165" fontId="2" fillId="0" borderId="105" applyAlignment="1" pivotButton="0" quotePrefix="0" xfId="0">
      <alignment horizontal="center" vertical="center"/>
    </xf>
    <xf numFmtId="165" fontId="2" fillId="0" borderId="104" applyAlignment="1" pivotButton="0" quotePrefix="0" xfId="0">
      <alignment horizontal="center" vertical="center"/>
    </xf>
    <xf numFmtId="164" fontId="12" fillId="0" borderId="111" applyAlignment="1" pivotButton="0" quotePrefix="0" xfId="0">
      <alignment horizontal="center" vertical="center"/>
    </xf>
    <xf numFmtId="164" fontId="2" fillId="0" borderId="0" applyAlignment="1" pivotButton="0" quotePrefix="0" xfId="0">
      <alignment horizontal="left"/>
    </xf>
    <xf numFmtId="164" fontId="12" fillId="0" borderId="0" pivotButton="0" quotePrefix="0" xfId="0"/>
    <xf numFmtId="164" fontId="1" fillId="0" borderId="0" pivotButton="0" quotePrefix="0" xfId="0"/>
    <xf numFmtId="164" fontId="13" fillId="0" borderId="0" applyAlignment="1" pivotButton="0" quotePrefix="0" xfId="0">
      <alignment horizontal="right"/>
    </xf>
    <xf numFmtId="164" fontId="3" fillId="0" borderId="0" applyAlignment="1" pivotButton="0" quotePrefix="0" xfId="0">
      <alignment horizontal="center"/>
    </xf>
    <xf numFmtId="164" fontId="2" fillId="2" borderId="102" applyAlignment="1" pivotButton="0" quotePrefix="0" xfId="0">
      <alignment horizontal="center" vertical="center" wrapText="1"/>
    </xf>
    <xf numFmtId="164" fontId="2" fillId="2" borderId="15" applyAlignment="1" pivotButton="0" quotePrefix="0" xfId="0">
      <alignment horizontal="center" vertical="center" wrapText="1"/>
    </xf>
    <xf numFmtId="0" fontId="0" fillId="0" borderId="127" pivotButton="0" quotePrefix="0" xfId="0"/>
    <xf numFmtId="0" fontId="0" fillId="0" borderId="117" pivotButton="0" quotePrefix="0" xfId="0"/>
    <xf numFmtId="164" fontId="2" fillId="0" borderId="32" pivotButton="0" quotePrefix="0" xfId="0"/>
    <xf numFmtId="164" fontId="2" fillId="0" borderId="59" pivotButton="0" quotePrefix="0" xfId="0"/>
    <xf numFmtId="165" fontId="2" fillId="0" borderId="59" pivotButton="0" quotePrefix="0" xfId="0"/>
    <xf numFmtId="165" fontId="2" fillId="0" borderId="60" pivotButton="0" quotePrefix="0" xfId="0"/>
    <xf numFmtId="165" fontId="2" fillId="0" borderId="57" pivotButton="0" quotePrefix="0" xfId="0"/>
    <xf numFmtId="165" fontId="2" fillId="0" borderId="58" applyAlignment="1" pivotButton="0" quotePrefix="0" xfId="0">
      <alignment horizontal="center"/>
    </xf>
    <xf numFmtId="164" fontId="2" fillId="0" borderId="37" pivotButton="0" quotePrefix="0" xfId="0"/>
    <xf numFmtId="164" fontId="2" fillId="0" borderId="65" pivotButton="0" quotePrefix="0" xfId="0"/>
    <xf numFmtId="165" fontId="2" fillId="0" borderId="64" pivotButton="0" quotePrefix="0" xfId="0"/>
    <xf numFmtId="164" fontId="2" fillId="0" borderId="39" pivotButton="0" quotePrefix="0" xfId="0"/>
    <xf numFmtId="164" fontId="2" fillId="0" borderId="71" pivotButton="0" quotePrefix="0" xfId="0"/>
    <xf numFmtId="165" fontId="2" fillId="0" borderId="73" pivotButton="0" quotePrefix="0" xfId="0"/>
    <xf numFmtId="164" fontId="2" fillId="0" borderId="74" pivotButton="0" quotePrefix="0" xfId="0"/>
    <xf numFmtId="164" fontId="2" fillId="2" borderId="40" applyAlignment="1" pivotButton="0" quotePrefix="0" xfId="0">
      <alignment horizontal="center"/>
    </xf>
    <xf numFmtId="164" fontId="2" fillId="2" borderId="31" applyAlignment="1" pivotButton="0" quotePrefix="0" xfId="0">
      <alignment horizontal="center" vertical="center"/>
    </xf>
    <xf numFmtId="165" fontId="2" fillId="2" borderId="14" applyAlignment="1" pivotButton="0" quotePrefix="0" xfId="0">
      <alignment horizontal="center" vertical="center"/>
    </xf>
    <xf numFmtId="165" fontId="2" fillId="2" borderId="97" applyAlignment="1" pivotButton="0" quotePrefix="0" xfId="0">
      <alignment horizontal="center"/>
    </xf>
    <xf numFmtId="165" fontId="2" fillId="2" borderId="14" applyAlignment="1" pivotButton="0" quotePrefix="0" xfId="0">
      <alignment horizontal="center"/>
    </xf>
    <xf numFmtId="164" fontId="2" fillId="2" borderId="86" pivotButton="0" quotePrefix="0" xfId="0"/>
    <xf numFmtId="165" fontId="2" fillId="2" borderId="97" applyAlignment="1" pivotButton="0" quotePrefix="0" xfId="0">
      <alignment horizontal="center" vertical="center"/>
    </xf>
    <xf numFmtId="164" fontId="2" fillId="0" borderId="108" applyAlignment="1" pivotButton="0" quotePrefix="0" xfId="0">
      <alignment horizontal="center" vertical="center"/>
    </xf>
    <xf numFmtId="165" fontId="2" fillId="0" borderId="104" applyAlignment="1" pivotButton="0" quotePrefix="0" xfId="0">
      <alignment horizontal="center"/>
    </xf>
    <xf numFmtId="164" fontId="2" fillId="0" borderId="111" applyAlignment="1" pivotButton="0" quotePrefix="0" xfId="0">
      <alignment vertical="center"/>
    </xf>
    <xf numFmtId="164" fontId="2" fillId="2" borderId="16" applyAlignment="1" pivotButton="0" quotePrefix="0" xfId="0">
      <alignment horizontal="center" vertical="center" wrapText="1"/>
    </xf>
    <xf numFmtId="164" fontId="2" fillId="0" borderId="32" applyAlignment="1" pivotButton="0" quotePrefix="0" xfId="0">
      <alignment horizontal="left" vertical="center"/>
    </xf>
    <xf numFmtId="165" fontId="2" fillId="0" borderId="60" applyAlignment="1" pivotButton="0" quotePrefix="0" xfId="0">
      <alignment horizontal="center"/>
    </xf>
    <xf numFmtId="164" fontId="6" fillId="2" borderId="40" applyAlignment="1" pivotButton="0" quotePrefix="0" xfId="0">
      <alignment horizontal="center" vertical="center"/>
    </xf>
    <xf numFmtId="164" fontId="4" fillId="2" borderId="31" pivotButton="0" quotePrefix="0" xfId="0"/>
    <xf numFmtId="164" fontId="4" fillId="2" borderId="86" pivotButton="0" quotePrefix="0" xfId="0"/>
    <xf numFmtId="165" fontId="2" fillId="0" borderId="66" applyAlignment="1" pivotButton="0" quotePrefix="0" xfId="0">
      <alignment horizontal="left"/>
    </xf>
    <xf numFmtId="165" fontId="2" fillId="2" borderId="88" applyAlignment="1" pivotButton="0" quotePrefix="0" xfId="0">
      <alignment horizontal="center"/>
    </xf>
    <xf numFmtId="164" fontId="4" fillId="2" borderId="31" applyAlignment="1" pivotButton="0" quotePrefix="0" xfId="0">
      <alignment horizontal="right"/>
    </xf>
    <xf numFmtId="165" fontId="2" fillId="0" borderId="76" applyAlignment="1" pivotButton="0" quotePrefix="0" xfId="0">
      <alignment horizontal="center"/>
    </xf>
    <xf numFmtId="165" fontId="2" fillId="0" borderId="56" pivotButton="0" quotePrefix="0" xfId="0"/>
    <xf numFmtId="165" fontId="2" fillId="0" borderId="58" pivotButton="0" quotePrefix="0" xfId="0"/>
    <xf numFmtId="165" fontId="2" fillId="0" borderId="63" applyAlignment="1" pivotButton="0" quotePrefix="0" xfId="0">
      <alignment horizontal="right"/>
    </xf>
    <xf numFmtId="165" fontId="2" fillId="0" borderId="82" applyAlignment="1" pivotButton="0" quotePrefix="0" xfId="0">
      <alignment horizontal="right"/>
    </xf>
    <xf numFmtId="165" fontId="2" fillId="0" borderId="64" applyAlignment="1" pivotButton="0" quotePrefix="0" xfId="0">
      <alignment horizontal="right"/>
    </xf>
    <xf numFmtId="164" fontId="4" fillId="0" borderId="108" applyAlignment="1" pivotButton="0" quotePrefix="0" xfId="0">
      <alignment horizontal="right"/>
    </xf>
    <xf numFmtId="164" fontId="2" fillId="0" borderId="111" pivotButton="0" quotePrefix="0" xfId="0"/>
    <xf numFmtId="164" fontId="2" fillId="0" borderId="0" pivotButton="0" quotePrefix="0" xfId="0"/>
    <xf numFmtId="164" fontId="4" fillId="0" borderId="0" applyAlignment="1" pivotButton="0" quotePrefix="0" xfId="0">
      <alignment horizontal="right"/>
    </xf>
    <xf numFmtId="164" fontId="2" fillId="0" borderId="60" applyAlignment="1" pivotButton="0" quotePrefix="0" xfId="0">
      <alignment horizontal="left" vertical="center"/>
    </xf>
    <xf numFmtId="164" fontId="2" fillId="0" borderId="66" applyAlignment="1" pivotButton="0" quotePrefix="0" xfId="0">
      <alignment horizontal="left" vertical="center"/>
    </xf>
    <xf numFmtId="164" fontId="2" fillId="0" borderId="67" applyAlignment="1" pivotButton="0" quotePrefix="0" xfId="0">
      <alignment horizontal="center" vertical="center"/>
    </xf>
    <xf numFmtId="164" fontId="4" fillId="2" borderId="91" applyAlignment="1" pivotButton="0" quotePrefix="0" xfId="0">
      <alignment horizontal="center" vertical="center"/>
    </xf>
    <xf numFmtId="165" fontId="2" fillId="2" borderId="104" applyAlignment="1" pivotButton="0" quotePrefix="0" xfId="0">
      <alignment horizontal="center" vertical="center"/>
    </xf>
    <xf numFmtId="165" fontId="2" fillId="2" borderId="105" applyAlignment="1" pivotButton="0" quotePrefix="0" xfId="0">
      <alignment horizontal="center" vertical="center"/>
    </xf>
    <xf numFmtId="165" fontId="4" fillId="2" borderId="92" applyAlignment="1" pivotButton="0" quotePrefix="0" xfId="0">
      <alignment horizontal="center" vertical="center"/>
    </xf>
    <xf numFmtId="165" fontId="2" fillId="2" borderId="108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styles" Target="styles.xml" Id="rId10" /><Relationship Type="http://schemas.openxmlformats.org/officeDocument/2006/relationships/theme" Target="theme/theme1.xml" Id="rId11" /></Relationships>
</file>

<file path=xl/comments/comment1.xml><?xml version="1.0" encoding="utf-8"?>
<comments xmlns="http://schemas.openxmlformats.org/spreadsheetml/2006/main">
  <authors>
    <author>唐榮軍</author>
  </authors>
  <commentList>
    <comment ref="V6" authorId="0" shapeId="0">
      <text>
        <t>唐榮軍:
銷售率:
(1年簽約面積:平米+12年簽約面積:平米)/可售面積:平米=100%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S55"/>
  <sheetViews>
    <sheetView workbookViewId="0">
      <selection activeCell="A1" sqref="A1:S1"/>
    </sheetView>
  </sheetViews>
  <sheetFormatPr baseColWidth="8" defaultRowHeight="14"/>
  <sheetData>
    <row r="1" ht="24" customHeight="1" s="408">
      <c r="A1" s="409" t="inlineStr">
        <is>
          <t>預   計  資  金  流  量   表</t>
        </is>
      </c>
    </row>
    <row r="2" ht="15.5" customHeight="1" s="408" thickBot="1">
      <c r="A2" s="410" t="inlineStr">
        <is>
          <t>編制單位：</t>
        </is>
      </c>
      <c r="B2" s="411" t="n"/>
      <c r="C2" s="412" t="n"/>
      <c r="D2" s="5" t="n"/>
      <c r="E2" s="5" t="n"/>
      <c r="F2" s="5" t="n"/>
      <c r="G2" s="410" t="inlineStr">
        <is>
          <t>預算年度：</t>
        </is>
      </c>
      <c r="H2" s="6" t="n"/>
      <c r="I2" s="6" t="n"/>
      <c r="J2" s="6" t="n"/>
      <c r="K2" s="6" t="n"/>
      <c r="L2" s="6" t="n"/>
      <c r="M2" s="6" t="n"/>
      <c r="N2" s="6" t="n"/>
      <c r="O2" s="410" t="inlineStr">
        <is>
          <t>製表人：</t>
        </is>
      </c>
      <c r="P2" s="7" t="n"/>
      <c r="Q2" s="7" t="n"/>
      <c r="R2" s="7" t="n"/>
      <c r="S2" s="8" t="n"/>
    </row>
    <row r="3" ht="14.5" customHeight="1" s="408">
      <c r="A3" s="413" t="inlineStr">
        <is>
          <t>專案</t>
        </is>
      </c>
      <c r="B3" s="414" t="inlineStr">
        <is>
          <t>內容</t>
        </is>
      </c>
      <c r="C3" s="12" t="inlineStr">
        <is>
          <t>1季度</t>
        </is>
      </c>
      <c r="D3" s="12" t="inlineStr">
        <is>
          <t>1月</t>
        </is>
      </c>
      <c r="E3" s="12" t="inlineStr">
        <is>
          <t>2月</t>
        </is>
      </c>
      <c r="F3" s="12" t="inlineStr">
        <is>
          <t>3月</t>
        </is>
      </c>
      <c r="G3" s="12" t="inlineStr">
        <is>
          <t>2季度</t>
        </is>
      </c>
      <c r="H3" s="12" t="inlineStr">
        <is>
          <t>4月</t>
        </is>
      </c>
      <c r="I3" s="12" t="inlineStr">
        <is>
          <t>5月</t>
        </is>
      </c>
      <c r="J3" s="12" t="inlineStr">
        <is>
          <t>6月</t>
        </is>
      </c>
      <c r="K3" s="12" t="inlineStr">
        <is>
          <t>3季度</t>
        </is>
      </c>
      <c r="L3" s="12" t="inlineStr">
        <is>
          <t>7月</t>
        </is>
      </c>
      <c r="M3" s="12" t="inlineStr">
        <is>
          <t>8月</t>
        </is>
      </c>
      <c r="N3" s="12" t="inlineStr">
        <is>
          <t>9月</t>
        </is>
      </c>
      <c r="O3" s="12" t="inlineStr">
        <is>
          <t>4季度</t>
        </is>
      </c>
      <c r="P3" s="13" t="inlineStr">
        <is>
          <t>10月</t>
        </is>
      </c>
      <c r="Q3" s="13" t="inlineStr">
        <is>
          <t>11月</t>
        </is>
      </c>
      <c r="R3" s="13" t="inlineStr">
        <is>
          <t>12月</t>
        </is>
      </c>
      <c r="S3" s="14" t="inlineStr">
        <is>
          <t>全年合計</t>
        </is>
      </c>
    </row>
    <row r="4" ht="14.5" customHeight="1" s="408">
      <c r="A4" s="415" t="inlineStr">
        <is>
          <t>一、經營活動現金流量</t>
        </is>
      </c>
      <c r="B4" s="416" t="n"/>
      <c r="C4" s="417" t="n"/>
      <c r="D4" s="417" t="n"/>
      <c r="E4" s="417" t="n"/>
      <c r="F4" s="417" t="n"/>
      <c r="G4" s="417" t="n"/>
      <c r="H4" s="417" t="n"/>
      <c r="I4" s="417" t="n"/>
      <c r="J4" s="417" t="n"/>
      <c r="K4" s="417" t="n"/>
      <c r="L4" s="417" t="n"/>
      <c r="M4" s="417" t="n"/>
      <c r="N4" s="417" t="n"/>
      <c r="O4" s="417" t="n"/>
      <c r="P4" s="417" t="n"/>
      <c r="Q4" s="417" t="n"/>
      <c r="R4" s="417" t="n"/>
      <c r="S4" s="418" t="n"/>
    </row>
    <row r="5" ht="14.5" customHeight="1" s="408">
      <c r="A5" s="419" t="inlineStr">
        <is>
          <t>現金流入</t>
        </is>
      </c>
      <c r="B5" s="416" t="n"/>
      <c r="C5" s="420" t="n"/>
      <c r="D5" s="420" t="n"/>
      <c r="E5" s="420" t="n"/>
      <c r="F5" s="420" t="n"/>
      <c r="G5" s="421" t="n"/>
      <c r="H5" s="421" t="n"/>
      <c r="I5" s="421" t="n"/>
      <c r="J5" s="421" t="n"/>
      <c r="K5" s="421" t="n"/>
      <c r="L5" s="421" t="n"/>
      <c r="M5" s="421" t="n"/>
      <c r="N5" s="421" t="n"/>
      <c r="O5" s="421" t="n"/>
      <c r="P5" s="421" t="n"/>
      <c r="Q5" s="421" t="n"/>
      <c r="R5" s="421" t="n"/>
      <c r="S5" s="422" t="n"/>
    </row>
    <row r="6" ht="14.5" customHeight="1" s="408">
      <c r="A6" s="419" t="inlineStr">
        <is>
          <t>主營業務現金收入</t>
        </is>
      </c>
      <c r="B6" s="23" t="n"/>
      <c r="C6" s="420">
        <f>SUM(D6:F6)</f>
        <v/>
      </c>
      <c r="D6" s="420" t="n"/>
      <c r="E6" s="420" t="n"/>
      <c r="F6" s="420" t="n"/>
      <c r="G6" s="420">
        <f>SUM(H6:J6)</f>
        <v/>
      </c>
      <c r="H6" s="420" t="n"/>
      <c r="I6" s="420" t="n"/>
      <c r="J6" s="420" t="n"/>
      <c r="K6" s="420">
        <f>SUM(L6:N6)</f>
        <v/>
      </c>
      <c r="L6" s="420" t="n"/>
      <c r="M6" s="420" t="n"/>
      <c r="N6" s="420" t="n"/>
      <c r="O6" s="420">
        <f>SUM(P6:R6)</f>
        <v/>
      </c>
      <c r="P6" s="420" t="n"/>
      <c r="Q6" s="420" t="n"/>
      <c r="R6" s="420" t="n"/>
      <c r="S6" s="423">
        <f>O6+K6+G6+C6</f>
        <v/>
      </c>
    </row>
    <row r="7" ht="14.5" customHeight="1" s="408">
      <c r="A7" s="419" t="inlineStr">
        <is>
          <t>房屋開發收入</t>
        </is>
      </c>
      <c r="B7" s="424" t="n"/>
      <c r="C7" s="420">
        <f>SUM(D7:F7)</f>
        <v/>
      </c>
      <c r="D7" s="420" t="n"/>
      <c r="E7" s="420" t="n"/>
      <c r="F7" s="420" t="n"/>
      <c r="G7" s="420">
        <f>SUM(H7:J7)</f>
        <v/>
      </c>
      <c r="H7" s="420" t="n"/>
      <c r="I7" s="420" t="n"/>
      <c r="J7" s="420" t="n"/>
      <c r="K7" s="420">
        <f>SUM(L7:N7)</f>
        <v/>
      </c>
      <c r="L7" s="420" t="n"/>
      <c r="M7" s="420" t="n"/>
      <c r="N7" s="420" t="n"/>
      <c r="O7" s="420">
        <f>SUM(P7:R7)</f>
        <v/>
      </c>
      <c r="P7" s="420" t="n"/>
      <c r="Q7" s="420" t="n"/>
      <c r="R7" s="420" t="n"/>
      <c r="S7" s="423">
        <f>O7+K7+G7+C7</f>
        <v/>
      </c>
    </row>
    <row r="8" ht="14.5" customHeight="1" s="408">
      <c r="A8" s="419" t="inlineStr">
        <is>
          <t>其他業務現金收入</t>
        </is>
      </c>
      <c r="B8" s="23" t="n"/>
      <c r="C8" s="420">
        <f>SUM(D8:F8)</f>
        <v/>
      </c>
      <c r="D8" s="420" t="n"/>
      <c r="E8" s="420" t="n"/>
      <c r="F8" s="420" t="n"/>
      <c r="G8" s="420">
        <f>SUM(H8:J8)</f>
        <v/>
      </c>
      <c r="H8" s="420" t="n"/>
      <c r="I8" s="420" t="n"/>
      <c r="J8" s="420" t="n"/>
      <c r="K8" s="420">
        <f>SUM(L8:N8)</f>
        <v/>
      </c>
      <c r="L8" s="420" t="n"/>
      <c r="M8" s="420" t="n"/>
      <c r="N8" s="420" t="n"/>
      <c r="O8" s="420">
        <f>SUM(P8:R8)</f>
        <v/>
      </c>
      <c r="P8" s="420" t="n"/>
      <c r="Q8" s="420" t="n"/>
      <c r="R8" s="420" t="n"/>
      <c r="S8" s="423">
        <f>O8+K8+G8+C8</f>
        <v/>
      </c>
    </row>
    <row r="9" ht="14.5" customHeight="1" s="408">
      <c r="A9" s="419" t="inlineStr">
        <is>
          <t>收到的稅費返還</t>
        </is>
      </c>
      <c r="B9" s="23" t="n"/>
      <c r="C9" s="420">
        <f>SUM(D9:F9)</f>
        <v/>
      </c>
      <c r="D9" s="420" t="n"/>
      <c r="E9" s="420" t="n"/>
      <c r="F9" s="420" t="n"/>
      <c r="G9" s="420">
        <f>SUM(H9:J9)</f>
        <v/>
      </c>
      <c r="H9" s="420" t="n"/>
      <c r="I9" s="420" t="n"/>
      <c r="J9" s="420" t="n"/>
      <c r="K9" s="420">
        <f>SUM(L9:N9)</f>
        <v/>
      </c>
      <c r="L9" s="420" t="n"/>
      <c r="M9" s="420" t="n"/>
      <c r="N9" s="420" t="n"/>
      <c r="O9" s="420">
        <f>SUM(P9:R9)</f>
        <v/>
      </c>
      <c r="P9" s="420" t="n"/>
      <c r="Q9" s="420" t="n"/>
      <c r="R9" s="420" t="n"/>
      <c r="S9" s="423">
        <f>O9+K9+G9+C9</f>
        <v/>
      </c>
    </row>
    <row r="10" ht="14.5" customHeight="1" s="408">
      <c r="A10" s="419" t="inlineStr">
        <is>
          <t>收到的其他與經營活動有關的現金</t>
        </is>
      </c>
      <c r="B10" s="424" t="n"/>
      <c r="C10" s="420">
        <f>SUM(D10:F10)</f>
        <v/>
      </c>
      <c r="D10" s="420" t="n"/>
      <c r="E10" s="420" t="n"/>
      <c r="F10" s="420" t="n"/>
      <c r="G10" s="420">
        <f>SUM(H10:J10)</f>
        <v/>
      </c>
      <c r="H10" s="420" t="n"/>
      <c r="I10" s="420" t="n"/>
      <c r="J10" s="420" t="n"/>
      <c r="K10" s="420">
        <f>SUM(L10:N10)</f>
        <v/>
      </c>
      <c r="L10" s="420" t="n"/>
      <c r="M10" s="420" t="n"/>
      <c r="N10" s="420" t="n"/>
      <c r="O10" s="420">
        <f>SUM(P10:R10)</f>
        <v/>
      </c>
      <c r="P10" s="420" t="n"/>
      <c r="Q10" s="420" t="n"/>
      <c r="R10" s="420" t="n"/>
      <c r="S10" s="423">
        <f>O10+K10+G10+C10</f>
        <v/>
      </c>
    </row>
    <row r="11" ht="14.5" customHeight="1" s="408">
      <c r="A11" s="425" t="inlineStr">
        <is>
          <t>經營活動產生現金流入小計</t>
        </is>
      </c>
      <c r="B11" s="426" t="n"/>
      <c r="C11" s="427">
        <f>SUM(D11:F11)</f>
        <v/>
      </c>
      <c r="D11" s="427">
        <f>D6+D8+D10</f>
        <v/>
      </c>
      <c r="E11" s="427">
        <f>E6+E8+E10</f>
        <v/>
      </c>
      <c r="F11" s="427">
        <f>F6+F8+F10</f>
        <v/>
      </c>
      <c r="G11" s="427">
        <f>SUM(H11:J11)</f>
        <v/>
      </c>
      <c r="H11" s="427">
        <f>H6+H8+H10</f>
        <v/>
      </c>
      <c r="I11" s="427">
        <f>I6+I8+I10</f>
        <v/>
      </c>
      <c r="J11" s="427">
        <f>J6+J8+J10</f>
        <v/>
      </c>
      <c r="K11" s="427">
        <f>SUM(L11:N11)</f>
        <v/>
      </c>
      <c r="L11" s="427">
        <f>L6+L8+L10</f>
        <v/>
      </c>
      <c r="M11" s="427">
        <f>M6+M8+M10</f>
        <v/>
      </c>
      <c r="N11" s="427">
        <f>N6+N8+N10</f>
        <v/>
      </c>
      <c r="O11" s="427">
        <f>SUM(P11:R11)</f>
        <v/>
      </c>
      <c r="P11" s="427">
        <f>P6+P8+P10</f>
        <v/>
      </c>
      <c r="Q11" s="427">
        <f>Q6+Q8+Q10</f>
        <v/>
      </c>
      <c r="R11" s="427">
        <f>R6+R8+R10</f>
        <v/>
      </c>
      <c r="S11" s="428">
        <f>O11+K11+G11+C11</f>
        <v/>
      </c>
    </row>
    <row r="12" ht="14.5" customHeight="1" s="408">
      <c r="A12" s="419" t="inlineStr">
        <is>
          <t>現金流出</t>
        </is>
      </c>
      <c r="B12" s="416" t="n"/>
      <c r="C12" s="429" t="n"/>
      <c r="D12" s="429" t="n"/>
      <c r="E12" s="429" t="n"/>
      <c r="F12" s="429" t="n"/>
      <c r="G12" s="421" t="n"/>
      <c r="H12" s="429" t="n"/>
      <c r="I12" s="429" t="n"/>
      <c r="J12" s="429" t="n"/>
      <c r="K12" s="421" t="n"/>
      <c r="L12" s="429" t="n"/>
      <c r="M12" s="429" t="n"/>
      <c r="N12" s="429" t="n"/>
      <c r="O12" s="421" t="n"/>
      <c r="P12" s="429" t="n"/>
      <c r="Q12" s="429" t="n"/>
      <c r="R12" s="429" t="n"/>
      <c r="S12" s="422" t="n"/>
    </row>
    <row r="13" ht="14.5" customHeight="1" s="408">
      <c r="A13" s="430" t="inlineStr">
        <is>
          <t>１、主營業務成本現金支出</t>
        </is>
      </c>
      <c r="B13" s="32" t="n"/>
      <c r="C13" s="420">
        <f>SUM(D13:F13)</f>
        <v/>
      </c>
      <c r="D13" s="420" t="n"/>
      <c r="E13" s="420" t="n"/>
      <c r="F13" s="420" t="n"/>
      <c r="G13" s="420">
        <f>SUM(H13:J13)</f>
        <v/>
      </c>
      <c r="H13" s="420" t="n"/>
      <c r="I13" s="420" t="n"/>
      <c r="J13" s="420" t="n"/>
      <c r="K13" s="420">
        <f>SUM(L13:N13)</f>
        <v/>
      </c>
      <c r="L13" s="420" t="n"/>
      <c r="M13" s="420" t="n"/>
      <c r="N13" s="420" t="n"/>
      <c r="O13" s="420">
        <f>SUM(P13:R13)</f>
        <v/>
      </c>
      <c r="P13" s="420" t="n"/>
      <c r="Q13" s="420" t="n"/>
      <c r="R13" s="420" t="n"/>
      <c r="S13" s="423">
        <f>O13+K13+G13+C13</f>
        <v/>
      </c>
    </row>
    <row r="14" ht="14.5" customHeight="1" s="408">
      <c r="A14" s="430" t="inlineStr">
        <is>
          <t>其中：商品房開發成本支出</t>
        </is>
      </c>
      <c r="B14" s="431" t="n"/>
      <c r="C14" s="420">
        <f>SUM(D14:F14)</f>
        <v/>
      </c>
      <c r="D14" s="420" t="n"/>
      <c r="E14" s="420" t="n"/>
      <c r="F14" s="420" t="n"/>
      <c r="G14" s="420">
        <f>SUM(H14:J14)</f>
        <v/>
      </c>
      <c r="H14" s="420" t="n"/>
      <c r="I14" s="420" t="n"/>
      <c r="J14" s="420" t="n"/>
      <c r="K14" s="420">
        <f>SUM(L14:N14)</f>
        <v/>
      </c>
      <c r="L14" s="420" t="n"/>
      <c r="M14" s="420" t="n"/>
      <c r="N14" s="420" t="n"/>
      <c r="O14" s="420">
        <f>SUM(P14:R14)</f>
        <v/>
      </c>
      <c r="P14" s="420" t="n"/>
      <c r="Q14" s="420" t="n"/>
      <c r="R14" s="420" t="n"/>
      <c r="S14" s="423">
        <f>O14+K14+G14+C14</f>
        <v/>
      </c>
    </row>
    <row r="15" ht="14.5" customHeight="1" s="408">
      <c r="A15" s="430" t="inlineStr">
        <is>
          <t>２、其他業務支出現金支出</t>
        </is>
      </c>
      <c r="B15" s="424" t="n"/>
      <c r="C15" s="420">
        <f>SUM(D15:F15)</f>
        <v/>
      </c>
      <c r="D15" s="420" t="n"/>
      <c r="E15" s="420" t="n"/>
      <c r="F15" s="420" t="n"/>
      <c r="G15" s="420">
        <f>SUM(H15:J15)</f>
        <v/>
      </c>
      <c r="H15" s="420" t="n"/>
      <c r="I15" s="420" t="n"/>
      <c r="J15" s="420" t="n"/>
      <c r="K15" s="420">
        <f>SUM(L15:N15)</f>
        <v/>
      </c>
      <c r="L15" s="420" t="n"/>
      <c r="M15" s="420" t="n"/>
      <c r="N15" s="420" t="n"/>
      <c r="O15" s="420">
        <f>SUM(P15:R15)</f>
        <v/>
      </c>
      <c r="P15" s="420" t="n"/>
      <c r="Q15" s="420" t="n"/>
      <c r="R15" s="420" t="n"/>
      <c r="S15" s="423">
        <f>O15+K15+G15+C15</f>
        <v/>
      </c>
    </row>
    <row r="16" ht="14.5" customHeight="1" s="408">
      <c r="A16" s="425" t="inlineStr">
        <is>
          <t>（一）成本現金支出小計</t>
        </is>
      </c>
      <c r="B16" s="426" t="n"/>
      <c r="C16" s="427">
        <f>SUM(D16:F16)</f>
        <v/>
      </c>
      <c r="D16" s="427">
        <f>D13+D15</f>
        <v/>
      </c>
      <c r="E16" s="427">
        <f>E13+E15</f>
        <v/>
      </c>
      <c r="F16" s="427">
        <f>F13+F15</f>
        <v/>
      </c>
      <c r="G16" s="427">
        <f>SUM(H16:J16)</f>
        <v/>
      </c>
      <c r="H16" s="427">
        <f>H13+H15</f>
        <v/>
      </c>
      <c r="I16" s="427">
        <f>I13+I15</f>
        <v/>
      </c>
      <c r="J16" s="427">
        <f>J13+J15</f>
        <v/>
      </c>
      <c r="K16" s="427">
        <f>SUM(L16:N16)</f>
        <v/>
      </c>
      <c r="L16" s="427">
        <f>L13+L15</f>
        <v/>
      </c>
      <c r="M16" s="427">
        <f>M13+M15</f>
        <v/>
      </c>
      <c r="N16" s="427">
        <f>N13+N15</f>
        <v/>
      </c>
      <c r="O16" s="427">
        <f>SUM(P16:R16)</f>
        <v/>
      </c>
      <c r="P16" s="427">
        <f>P13+P15</f>
        <v/>
      </c>
      <c r="Q16" s="427">
        <f>Q13+Q15</f>
        <v/>
      </c>
      <c r="R16" s="427">
        <f>R13+R15</f>
        <v/>
      </c>
      <c r="S16" s="428">
        <f>O16+K16+G16+C16</f>
        <v/>
      </c>
    </row>
    <row r="17" ht="14.5" customHeight="1" s="408">
      <c r="A17" s="419" t="inlineStr">
        <is>
          <t>1、管理費用現金支出</t>
        </is>
      </c>
      <c r="B17" s="424" t="n"/>
      <c r="C17" s="420">
        <f>SUM(D17:F17)</f>
        <v/>
      </c>
      <c r="D17" s="420" t="n"/>
      <c r="E17" s="420" t="n"/>
      <c r="F17" s="420" t="n"/>
      <c r="G17" s="420">
        <f>SUM(H17:J17)</f>
        <v/>
      </c>
      <c r="H17" s="420" t="n"/>
      <c r="I17" s="420" t="n"/>
      <c r="J17" s="420" t="n"/>
      <c r="K17" s="420">
        <f>SUM(L17:N17)</f>
        <v/>
      </c>
      <c r="L17" s="420" t="n"/>
      <c r="M17" s="420" t="n"/>
      <c r="N17" s="420" t="n"/>
      <c r="O17" s="420">
        <f>SUM(P17:R17)</f>
        <v/>
      </c>
      <c r="P17" s="420" t="n"/>
      <c r="Q17" s="420" t="n"/>
      <c r="R17" s="420" t="n"/>
      <c r="S17" s="423">
        <f>O17+K17+G17+C17</f>
        <v/>
      </c>
    </row>
    <row r="18" ht="14.5" customHeight="1" s="408">
      <c r="A18" s="419" t="inlineStr">
        <is>
          <t>2、銷售費用現金支出</t>
        </is>
      </c>
      <c r="B18" s="424" t="n"/>
      <c r="C18" s="420">
        <f>SUM(D18:F18)</f>
        <v/>
      </c>
      <c r="D18" s="420" t="n"/>
      <c r="E18" s="420" t="n"/>
      <c r="F18" s="420" t="n"/>
      <c r="G18" s="420">
        <f>SUM(H18:J18)</f>
        <v/>
      </c>
      <c r="H18" s="420" t="n"/>
      <c r="I18" s="420" t="n"/>
      <c r="J18" s="420" t="n"/>
      <c r="K18" s="420">
        <f>SUM(L18:N18)</f>
        <v/>
      </c>
      <c r="L18" s="420" t="n"/>
      <c r="M18" s="420" t="n"/>
      <c r="N18" s="420" t="n"/>
      <c r="O18" s="420">
        <f>SUM(P18:R18)</f>
        <v/>
      </c>
      <c r="P18" s="420" t="n"/>
      <c r="Q18" s="420" t="n"/>
      <c r="R18" s="420" t="n"/>
      <c r="S18" s="423">
        <f>O18+K18+G18+C18</f>
        <v/>
      </c>
    </row>
    <row r="19" ht="14.5" customHeight="1" s="408">
      <c r="A19" s="425" t="inlineStr">
        <is>
          <t>（二）期間費用支出小計</t>
        </is>
      </c>
      <c r="B19" s="426" t="n"/>
      <c r="C19" s="427">
        <f>SUM(D19:F19)</f>
        <v/>
      </c>
      <c r="D19" s="427">
        <f>SUM(D17:D18)</f>
        <v/>
      </c>
      <c r="E19" s="427">
        <f>SUM(E17:E18)</f>
        <v/>
      </c>
      <c r="F19" s="427">
        <f>SUM(F17:F18)</f>
        <v/>
      </c>
      <c r="G19" s="427">
        <f>SUM(H19:J19)</f>
        <v/>
      </c>
      <c r="H19" s="427">
        <f>SUM(H17:H18)</f>
        <v/>
      </c>
      <c r="I19" s="427">
        <f>SUM(I17:I18)</f>
        <v/>
      </c>
      <c r="J19" s="427">
        <f>SUM(J17:J18)</f>
        <v/>
      </c>
      <c r="K19" s="427">
        <f>SUM(L19:N19)</f>
        <v/>
      </c>
      <c r="L19" s="427">
        <f>SUM(L17:L18)</f>
        <v/>
      </c>
      <c r="M19" s="427">
        <f>SUM(M17:M18)</f>
        <v/>
      </c>
      <c r="N19" s="427">
        <f>SUM(N17:N18)</f>
        <v/>
      </c>
      <c r="O19" s="427">
        <f>SUM(P19:R19)</f>
        <v/>
      </c>
      <c r="P19" s="427">
        <f>SUM(P17:P18)</f>
        <v/>
      </c>
      <c r="Q19" s="427">
        <f>SUM(Q17:Q18)</f>
        <v/>
      </c>
      <c r="R19" s="427">
        <f>SUM(R17:R18)</f>
        <v/>
      </c>
      <c r="S19" s="428">
        <f>O19+K19+G19+C19</f>
        <v/>
      </c>
    </row>
    <row r="20" ht="14.5" customHeight="1" s="408">
      <c r="A20" s="425" t="inlineStr">
        <is>
          <t>（三）各項稅費支出小計</t>
        </is>
      </c>
      <c r="B20" s="432" t="n"/>
      <c r="C20" s="427">
        <f>SUM(D20:F20)</f>
        <v/>
      </c>
      <c r="D20" s="427" t="n"/>
      <c r="E20" s="427" t="n"/>
      <c r="F20" s="427" t="n"/>
      <c r="G20" s="427">
        <f>SUM(H20:J20)</f>
        <v/>
      </c>
      <c r="H20" s="427" t="n"/>
      <c r="I20" s="427" t="n"/>
      <c r="J20" s="427" t="n"/>
      <c r="K20" s="427">
        <f>SUM(L20:N20)</f>
        <v/>
      </c>
      <c r="L20" s="427" t="n"/>
      <c r="M20" s="427" t="n"/>
      <c r="N20" s="427" t="n"/>
      <c r="O20" s="427">
        <f>SUM(P20:R20)</f>
        <v/>
      </c>
      <c r="P20" s="427" t="n"/>
      <c r="Q20" s="427" t="n"/>
      <c r="R20" s="427" t="n"/>
      <c r="S20" s="428">
        <f>O20+K20+G20+C20</f>
        <v/>
      </c>
    </row>
    <row r="21" ht="14.5" customHeight="1" s="408">
      <c r="A21" s="419" t="inlineStr">
        <is>
          <t>（四）支付的其他與經營活動有關的現金</t>
        </is>
      </c>
      <c r="B21" s="424" t="n"/>
      <c r="C21" s="420">
        <f>SUM(D21:F21)</f>
        <v/>
      </c>
      <c r="D21" s="420" t="n"/>
      <c r="E21" s="420" t="n"/>
      <c r="F21" s="420" t="n"/>
      <c r="G21" s="420">
        <f>SUM(H21:J21)</f>
        <v/>
      </c>
      <c r="H21" s="420" t="n"/>
      <c r="I21" s="420" t="n"/>
      <c r="J21" s="420" t="n"/>
      <c r="K21" s="420">
        <f>SUM(L21:N21)</f>
        <v/>
      </c>
      <c r="L21" s="420" t="n"/>
      <c r="M21" s="420" t="n"/>
      <c r="N21" s="420" t="n"/>
      <c r="O21" s="420">
        <f>SUM(P21:R21)</f>
        <v/>
      </c>
      <c r="P21" s="420" t="n"/>
      <c r="Q21" s="420" t="n"/>
      <c r="R21" s="420" t="n"/>
      <c r="S21" s="423">
        <f>O21+K21+G21+C21</f>
        <v/>
      </c>
    </row>
    <row r="22" ht="14.5" customHeight="1" s="408">
      <c r="A22" s="433" t="inlineStr">
        <is>
          <t>經營活動產生現金流出小計</t>
        </is>
      </c>
      <c r="B22" s="426" t="n"/>
      <c r="C22" s="427">
        <f>SUM(D22:F22)</f>
        <v/>
      </c>
      <c r="D22" s="427">
        <f>D16+D19+D20+D21</f>
        <v/>
      </c>
      <c r="E22" s="427">
        <f>E16+E19+E20+E21</f>
        <v/>
      </c>
      <c r="F22" s="427">
        <f>F16+F19+F20+F21</f>
        <v/>
      </c>
      <c r="G22" s="427">
        <f>SUM(H22:J22)</f>
        <v/>
      </c>
      <c r="H22" s="427">
        <f>H16+H19+H20+H21</f>
        <v/>
      </c>
      <c r="I22" s="427">
        <f>I16+I19+I20+I21</f>
        <v/>
      </c>
      <c r="J22" s="427">
        <f>J16+J19+J20+J21</f>
        <v/>
      </c>
      <c r="K22" s="427">
        <f>SUM(L22:N22)</f>
        <v/>
      </c>
      <c r="L22" s="427">
        <f>L16+L19+L20+L21</f>
        <v/>
      </c>
      <c r="M22" s="427">
        <f>M16+M19+M20+M21</f>
        <v/>
      </c>
      <c r="N22" s="427">
        <f>N16+N19+N20+N21</f>
        <v/>
      </c>
      <c r="O22" s="427">
        <f>SUM(P22:R22)</f>
        <v/>
      </c>
      <c r="P22" s="427">
        <f>P16+P19+P20+P21</f>
        <v/>
      </c>
      <c r="Q22" s="427">
        <f>Q16+Q19+Q20+Q21</f>
        <v/>
      </c>
      <c r="R22" s="427">
        <f>R16+R19+R20+R21</f>
        <v/>
      </c>
      <c r="S22" s="428">
        <f>O22+K22+G22+C22</f>
        <v/>
      </c>
    </row>
    <row r="23" ht="14.5" customHeight="1" s="408">
      <c r="A23" s="434" t="inlineStr">
        <is>
          <t>經營活動產生的現金流量淨額</t>
        </is>
      </c>
      <c r="B23" s="416" t="n"/>
      <c r="C23" s="420">
        <f>SUM(D23:F23)</f>
        <v/>
      </c>
      <c r="D23" s="420">
        <f>D11-D22</f>
        <v/>
      </c>
      <c r="E23" s="420">
        <f>E11-E22</f>
        <v/>
      </c>
      <c r="F23" s="420">
        <f>F11-F22</f>
        <v/>
      </c>
      <c r="G23" s="420">
        <f>SUM(H23:J23)</f>
        <v/>
      </c>
      <c r="H23" s="420">
        <f>H11-H22</f>
        <v/>
      </c>
      <c r="I23" s="420">
        <f>I11-I22</f>
        <v/>
      </c>
      <c r="J23" s="420">
        <f>J11-J22</f>
        <v/>
      </c>
      <c r="K23" s="420">
        <f>SUM(L23:N23)</f>
        <v/>
      </c>
      <c r="L23" s="420">
        <f>L11-L22</f>
        <v/>
      </c>
      <c r="M23" s="420">
        <f>M11-M22</f>
        <v/>
      </c>
      <c r="N23" s="420">
        <f>N11-N22</f>
        <v/>
      </c>
      <c r="O23" s="420">
        <f>SUM(P23:R23)</f>
        <v/>
      </c>
      <c r="P23" s="420">
        <f>P11-P22</f>
        <v/>
      </c>
      <c r="Q23" s="420">
        <f>Q11-Q22</f>
        <v/>
      </c>
      <c r="R23" s="420">
        <f>R11-R22</f>
        <v/>
      </c>
      <c r="S23" s="423">
        <f>O23+K23+G23+C23</f>
        <v/>
      </c>
    </row>
    <row r="24" ht="14.5" customHeight="1" s="408">
      <c r="A24" s="415" t="inlineStr">
        <is>
          <t>二、投資活動現金流量</t>
        </is>
      </c>
      <c r="B24" s="416" t="n"/>
      <c r="C24" s="420" t="n"/>
      <c r="D24" s="420" t="n"/>
      <c r="E24" s="420" t="n"/>
      <c r="F24" s="420" t="n"/>
      <c r="G24" s="420" t="n"/>
      <c r="H24" s="420" t="n"/>
      <c r="I24" s="420" t="n"/>
      <c r="J24" s="420" t="n"/>
      <c r="K24" s="420" t="n"/>
      <c r="L24" s="420" t="n"/>
      <c r="M24" s="420" t="n"/>
      <c r="N24" s="420" t="n"/>
      <c r="O24" s="420" t="n"/>
      <c r="P24" s="420" t="n"/>
      <c r="Q24" s="420" t="n"/>
      <c r="R24" s="420" t="n"/>
      <c r="S24" s="423" t="n"/>
    </row>
    <row r="25" ht="14.5" customHeight="1" s="408">
      <c r="A25" s="419" t="inlineStr">
        <is>
          <t>現金流入</t>
        </is>
      </c>
      <c r="B25" s="416" t="n"/>
      <c r="C25" s="420" t="n"/>
      <c r="D25" s="420" t="n"/>
      <c r="E25" s="420" t="n"/>
      <c r="F25" s="420" t="n"/>
      <c r="G25" s="420" t="n"/>
      <c r="H25" s="420" t="n"/>
      <c r="I25" s="420" t="n"/>
      <c r="J25" s="420" t="n"/>
      <c r="K25" s="420" t="n"/>
      <c r="L25" s="420" t="n"/>
      <c r="M25" s="420" t="n"/>
      <c r="N25" s="420" t="n"/>
      <c r="O25" s="420" t="n"/>
      <c r="P25" s="420" t="n"/>
      <c r="Q25" s="420" t="n"/>
      <c r="R25" s="420" t="n"/>
      <c r="S25" s="423" t="n"/>
    </row>
    <row r="26" ht="14.5" customHeight="1" s="408">
      <c r="A26" s="419" t="inlineStr">
        <is>
          <t>收回投資本金所收到的現金</t>
        </is>
      </c>
      <c r="B26" s="424" t="n"/>
      <c r="C26" s="420">
        <f>SUM(D26:F26)</f>
        <v/>
      </c>
      <c r="D26" s="420" t="n"/>
      <c r="E26" s="420" t="n"/>
      <c r="F26" s="420" t="n"/>
      <c r="G26" s="420">
        <f>SUM(H26:J26)</f>
        <v/>
      </c>
      <c r="H26" s="420" t="n"/>
      <c r="I26" s="420" t="n"/>
      <c r="J26" s="420" t="n"/>
      <c r="K26" s="420">
        <f>SUM(L26:N26)</f>
        <v/>
      </c>
      <c r="L26" s="420" t="n"/>
      <c r="M26" s="420" t="n"/>
      <c r="N26" s="420" t="n"/>
      <c r="O26" s="420">
        <f>SUM(P26:R26)</f>
        <v/>
      </c>
      <c r="P26" s="420" t="n"/>
      <c r="Q26" s="420" t="n"/>
      <c r="R26" s="420" t="n"/>
      <c r="S26" s="423">
        <f>O26+K26+G26+C26</f>
        <v/>
      </c>
    </row>
    <row r="27" ht="14.5" customHeight="1" s="408">
      <c r="A27" s="419" t="inlineStr">
        <is>
          <t>取得投資收益所收到的現金</t>
        </is>
      </c>
      <c r="B27" s="424" t="n"/>
      <c r="C27" s="420">
        <f>SUM(D27:F27)</f>
        <v/>
      </c>
      <c r="D27" s="420" t="n"/>
      <c r="E27" s="420" t="n"/>
      <c r="F27" s="420" t="n"/>
      <c r="G27" s="420">
        <f>SUM(H27:J27)</f>
        <v/>
      </c>
      <c r="H27" s="420" t="n"/>
      <c r="I27" s="420" t="n"/>
      <c r="J27" s="420" t="n"/>
      <c r="K27" s="420">
        <f>SUM(L27:N27)</f>
        <v/>
      </c>
      <c r="L27" s="420" t="n"/>
      <c r="M27" s="420" t="n"/>
      <c r="N27" s="420" t="n"/>
      <c r="O27" s="420">
        <f>SUM(P27:R27)</f>
        <v/>
      </c>
      <c r="P27" s="420" t="n"/>
      <c r="Q27" s="420" t="n"/>
      <c r="R27" s="420" t="n"/>
      <c r="S27" s="423">
        <f>O27+K27+G27+C27</f>
        <v/>
      </c>
    </row>
    <row r="28" ht="14.5" customHeight="1" s="408">
      <c r="A28" s="419" t="inlineStr">
        <is>
          <t>處置非流動資產收到的現金淨額</t>
        </is>
      </c>
      <c r="B28" s="424" t="n"/>
      <c r="C28" s="420">
        <f>SUM(D28:F28)</f>
        <v/>
      </c>
      <c r="D28" s="420" t="n"/>
      <c r="E28" s="420" t="n"/>
      <c r="F28" s="420" t="n"/>
      <c r="G28" s="420">
        <f>SUM(H28:J28)</f>
        <v/>
      </c>
      <c r="H28" s="420" t="n"/>
      <c r="I28" s="420" t="n"/>
      <c r="J28" s="420" t="n"/>
      <c r="K28" s="420">
        <f>SUM(L28:N28)</f>
        <v/>
      </c>
      <c r="L28" s="420" t="n"/>
      <c r="M28" s="420" t="n"/>
      <c r="N28" s="420" t="n"/>
      <c r="O28" s="420">
        <f>SUM(P28:R28)</f>
        <v/>
      </c>
      <c r="P28" s="420" t="n"/>
      <c r="Q28" s="420" t="n"/>
      <c r="R28" s="420" t="n"/>
      <c r="S28" s="423">
        <f>O28+K28+G28+C28</f>
        <v/>
      </c>
    </row>
    <row r="29" ht="72.5" customHeight="1" s="408">
      <c r="A29" s="37" t="inlineStr">
        <is>
          <t>處置子公司及其他營業單位收到的現金淨額</t>
        </is>
      </c>
      <c r="B29" s="424" t="n"/>
      <c r="C29" s="420">
        <f>SUM(D29:F29)</f>
        <v/>
      </c>
      <c r="D29" s="420" t="n"/>
      <c r="E29" s="420" t="n"/>
      <c r="F29" s="420" t="n"/>
      <c r="G29" s="420">
        <f>SUM(H29:J29)</f>
        <v/>
      </c>
      <c r="H29" s="420" t="n"/>
      <c r="I29" s="420" t="n"/>
      <c r="J29" s="420" t="n"/>
      <c r="K29" s="420">
        <f>SUM(L29:N29)</f>
        <v/>
      </c>
      <c r="L29" s="420" t="n"/>
      <c r="M29" s="420" t="n"/>
      <c r="N29" s="420" t="n"/>
      <c r="O29" s="420">
        <f>SUM(P29:R29)</f>
        <v/>
      </c>
      <c r="P29" s="420" t="n"/>
      <c r="Q29" s="420" t="n"/>
      <c r="R29" s="420" t="n"/>
      <c r="S29" s="423">
        <f>O29+K29+G29+C29</f>
        <v/>
      </c>
    </row>
    <row r="30" ht="14.5" customHeight="1" s="408">
      <c r="A30" s="419" t="inlineStr">
        <is>
          <t>收到的其他與投資活動有關的現金</t>
        </is>
      </c>
      <c r="B30" s="424" t="n"/>
      <c r="C30" s="420">
        <f>SUM(D30:F30)</f>
        <v/>
      </c>
      <c r="D30" s="420" t="n"/>
      <c r="E30" s="420" t="n"/>
      <c r="F30" s="420" t="n"/>
      <c r="G30" s="420">
        <f>SUM(H30:J30)</f>
        <v/>
      </c>
      <c r="H30" s="420" t="n"/>
      <c r="I30" s="420" t="n"/>
      <c r="J30" s="420" t="n"/>
      <c r="K30" s="420">
        <f>SUM(L30:N30)</f>
        <v/>
      </c>
      <c r="L30" s="420" t="n"/>
      <c r="M30" s="420" t="n"/>
      <c r="N30" s="420" t="n"/>
      <c r="O30" s="420">
        <f>SUM(P30:R30)</f>
        <v/>
      </c>
      <c r="P30" s="420" t="n"/>
      <c r="Q30" s="420" t="n"/>
      <c r="R30" s="420" t="n"/>
      <c r="S30" s="423">
        <f>O30+K30+G30+C30</f>
        <v/>
      </c>
    </row>
    <row r="31" ht="14.5" customHeight="1" s="408">
      <c r="A31" s="425" t="inlineStr">
        <is>
          <t>（二）投資活動產生現金流入小計</t>
        </is>
      </c>
      <c r="B31" s="426" t="n"/>
      <c r="C31" s="427">
        <f>SUM(D31:F31)</f>
        <v/>
      </c>
      <c r="D31" s="427">
        <f>SUM(D26:D30)</f>
        <v/>
      </c>
      <c r="E31" s="427">
        <f>SUM(E26:E30)</f>
        <v/>
      </c>
      <c r="F31" s="427">
        <f>SUM(F26:F30)</f>
        <v/>
      </c>
      <c r="G31" s="427">
        <f>SUM(H31:J31)</f>
        <v/>
      </c>
      <c r="H31" s="427">
        <f>SUM(H26:H30)</f>
        <v/>
      </c>
      <c r="I31" s="427">
        <f>SUM(I26:I30)</f>
        <v/>
      </c>
      <c r="J31" s="427">
        <f>SUM(J26:J30)</f>
        <v/>
      </c>
      <c r="K31" s="427">
        <f>SUM(L31:N31)</f>
        <v/>
      </c>
      <c r="L31" s="427">
        <f>SUM(L26:L30)</f>
        <v/>
      </c>
      <c r="M31" s="427">
        <f>SUM(M26:M30)</f>
        <v/>
      </c>
      <c r="N31" s="427">
        <f>SUM(N26:N30)</f>
        <v/>
      </c>
      <c r="O31" s="427">
        <f>SUM(P31:R31)</f>
        <v/>
      </c>
      <c r="P31" s="427">
        <f>SUM(P26:P30)</f>
        <v/>
      </c>
      <c r="Q31" s="427">
        <f>SUM(Q26:Q30)</f>
        <v/>
      </c>
      <c r="R31" s="427">
        <f>SUM(R26:R30)</f>
        <v/>
      </c>
      <c r="S31" s="428">
        <f>O31+K31+G31+C31</f>
        <v/>
      </c>
    </row>
    <row r="32" ht="14.5" customHeight="1" s="408">
      <c r="A32" s="419" t="inlineStr">
        <is>
          <t>現金流出</t>
        </is>
      </c>
      <c r="B32" s="416" t="n"/>
      <c r="C32" s="420" t="n"/>
      <c r="D32" s="420" t="n"/>
      <c r="E32" s="420" t="n"/>
      <c r="F32" s="420" t="n"/>
      <c r="G32" s="420" t="n"/>
      <c r="H32" s="420" t="n"/>
      <c r="I32" s="420" t="n"/>
      <c r="J32" s="420" t="n"/>
      <c r="K32" s="420" t="n"/>
      <c r="L32" s="420" t="n"/>
      <c r="M32" s="420" t="n"/>
      <c r="N32" s="420" t="n"/>
      <c r="O32" s="420" t="n"/>
      <c r="P32" s="420" t="n"/>
      <c r="Q32" s="420" t="n"/>
      <c r="R32" s="420" t="n"/>
      <c r="S32" s="423" t="n"/>
    </row>
    <row r="33" ht="58" customHeight="1" s="408">
      <c r="A33" s="435" t="inlineStr">
        <is>
          <t>1、購置非流動資產支出現金</t>
        </is>
      </c>
      <c r="B33" s="424" t="n"/>
      <c r="C33" s="420">
        <f>SUM(D33:F33)</f>
        <v/>
      </c>
      <c r="D33" s="420" t="n"/>
      <c r="E33" s="420" t="n"/>
      <c r="F33" s="420" t="n"/>
      <c r="G33" s="420">
        <f>SUM(H33:J33)</f>
        <v/>
      </c>
      <c r="H33" s="420" t="n"/>
      <c r="I33" s="420" t="n"/>
      <c r="J33" s="420" t="n"/>
      <c r="K33" s="420">
        <f>SUM(L33:N33)</f>
        <v/>
      </c>
      <c r="L33" s="420" t="n"/>
      <c r="M33" s="420" t="n"/>
      <c r="N33" s="420" t="n"/>
      <c r="O33" s="420">
        <f>SUM(P33:R33)</f>
        <v/>
      </c>
      <c r="P33" s="420" t="n"/>
      <c r="Q33" s="420" t="n"/>
      <c r="R33" s="420" t="n"/>
      <c r="S33" s="423">
        <f>O33+K33+G33+C33</f>
        <v/>
      </c>
    </row>
    <row r="34" ht="29" customHeight="1" s="408">
      <c r="A34" s="435" t="inlineStr">
        <is>
          <t>2、長期股權投資</t>
        </is>
      </c>
      <c r="B34" s="424" t="n"/>
      <c r="C34" s="420">
        <f>SUM(D34:F34)</f>
        <v/>
      </c>
      <c r="D34" s="420" t="n"/>
      <c r="E34" s="420" t="n"/>
      <c r="F34" s="420" t="n"/>
      <c r="G34" s="420">
        <f>SUM(H34:J34)</f>
        <v/>
      </c>
      <c r="H34" s="420" t="n"/>
      <c r="I34" s="420" t="n"/>
      <c r="J34" s="420" t="n"/>
      <c r="K34" s="420">
        <f>SUM(L34:N34)</f>
        <v/>
      </c>
      <c r="L34" s="420" t="n"/>
      <c r="M34" s="420" t="n"/>
      <c r="N34" s="420" t="n"/>
      <c r="O34" s="420">
        <f>SUM(P34:R34)</f>
        <v/>
      </c>
      <c r="P34" s="420" t="n"/>
      <c r="Q34" s="420" t="n"/>
      <c r="R34" s="420" t="n"/>
      <c r="S34" s="423">
        <f>O34+K34+G34+C34</f>
        <v/>
      </c>
    </row>
    <row r="35" ht="29" customHeight="1" s="408">
      <c r="A35" s="435" t="inlineStr">
        <is>
          <t>3、股票投資</t>
        </is>
      </c>
      <c r="B35" s="424" t="n"/>
      <c r="C35" s="420">
        <f>SUM(D35:F35)</f>
        <v/>
      </c>
      <c r="D35" s="420" t="n"/>
      <c r="E35" s="420" t="n"/>
      <c r="F35" s="420" t="n"/>
      <c r="G35" s="420">
        <f>SUM(H35:J35)</f>
        <v/>
      </c>
      <c r="H35" s="420" t="n"/>
      <c r="I35" s="420" t="n"/>
      <c r="J35" s="420" t="n"/>
      <c r="K35" s="420">
        <f>SUM(L35:N35)</f>
        <v/>
      </c>
      <c r="L35" s="420" t="n"/>
      <c r="M35" s="420" t="n"/>
      <c r="N35" s="420" t="n"/>
      <c r="O35" s="420">
        <f>SUM(P35:R35)</f>
        <v/>
      </c>
      <c r="P35" s="420" t="n"/>
      <c r="Q35" s="420" t="n"/>
      <c r="R35" s="420" t="n"/>
      <c r="S35" s="423">
        <f>O35+K35+G35+C35</f>
        <v/>
      </c>
    </row>
    <row r="36" ht="14.5" customHeight="1" s="408">
      <c r="A36" s="430" t="inlineStr">
        <is>
          <t>3、債券投資</t>
        </is>
      </c>
      <c r="B36" s="424" t="n"/>
      <c r="C36" s="420">
        <f>SUM(D36:F36)</f>
        <v/>
      </c>
      <c r="D36" s="420" t="n"/>
      <c r="E36" s="420" t="n"/>
      <c r="F36" s="420" t="n"/>
      <c r="G36" s="420">
        <f>SUM(H36:J36)</f>
        <v/>
      </c>
      <c r="H36" s="420" t="n"/>
      <c r="I36" s="420" t="n"/>
      <c r="J36" s="420" t="n"/>
      <c r="K36" s="420">
        <f>SUM(L36:N36)</f>
        <v/>
      </c>
      <c r="L36" s="420" t="n"/>
      <c r="M36" s="420" t="n"/>
      <c r="N36" s="420" t="n"/>
      <c r="O36" s="420">
        <f>SUM(P36:R36)</f>
        <v/>
      </c>
      <c r="P36" s="420" t="n"/>
      <c r="Q36" s="420" t="n"/>
      <c r="R36" s="420" t="n"/>
      <c r="S36" s="423">
        <f>O36+K36+G36+C36</f>
        <v/>
      </c>
    </row>
    <row r="37" ht="14.5" customHeight="1" s="408">
      <c r="A37" s="430" t="inlineStr">
        <is>
          <t>4、支付的其他與投資活動有關的現金</t>
        </is>
      </c>
      <c r="B37" s="424" t="n"/>
      <c r="C37" s="420">
        <f>SUM(D37:F37)</f>
        <v/>
      </c>
      <c r="D37" s="420" t="n"/>
      <c r="E37" s="420" t="n"/>
      <c r="F37" s="420" t="n"/>
      <c r="G37" s="420">
        <f>SUM(H37:J37)</f>
        <v/>
      </c>
      <c r="H37" s="420" t="n"/>
      <c r="I37" s="420" t="n"/>
      <c r="J37" s="420" t="n"/>
      <c r="K37" s="420">
        <f>SUM(L37:N37)</f>
        <v/>
      </c>
      <c r="L37" s="420" t="n"/>
      <c r="M37" s="420" t="n"/>
      <c r="N37" s="420" t="n"/>
      <c r="O37" s="420">
        <f>SUM(P37:R37)</f>
        <v/>
      </c>
      <c r="P37" s="420" t="n"/>
      <c r="Q37" s="420" t="n"/>
      <c r="R37" s="420" t="n"/>
      <c r="S37" s="423">
        <f>O37+K37+G37+C37</f>
        <v/>
      </c>
    </row>
    <row r="38" ht="14.5" customHeight="1" s="408">
      <c r="A38" s="433" t="inlineStr">
        <is>
          <t>投資活動產生現金流出小計</t>
        </is>
      </c>
      <c r="B38" s="426" t="n"/>
      <c r="C38" s="427">
        <f>SUM(D38:F38)</f>
        <v/>
      </c>
      <c r="D38" s="427">
        <f>SUM(D33:D37)</f>
        <v/>
      </c>
      <c r="E38" s="427">
        <f>SUM(E33:E37)</f>
        <v/>
      </c>
      <c r="F38" s="427">
        <f>SUM(F33:F37)</f>
        <v/>
      </c>
      <c r="G38" s="427">
        <f>SUM(H38:J38)</f>
        <v/>
      </c>
      <c r="H38" s="427">
        <f>SUM(H33:H37)</f>
        <v/>
      </c>
      <c r="I38" s="427">
        <f>SUM(I33:I37)</f>
        <v/>
      </c>
      <c r="J38" s="427">
        <f>SUM(J33:J37)</f>
        <v/>
      </c>
      <c r="K38" s="427">
        <f>SUM(L38:N38)</f>
        <v/>
      </c>
      <c r="L38" s="427">
        <f>SUM(L33:L37)</f>
        <v/>
      </c>
      <c r="M38" s="427">
        <f>SUM(M33:M37)</f>
        <v/>
      </c>
      <c r="N38" s="427">
        <f>SUM(N33:N37)</f>
        <v/>
      </c>
      <c r="O38" s="427">
        <f>SUM(P38:R38)</f>
        <v/>
      </c>
      <c r="P38" s="427">
        <f>SUM(P33:P37)</f>
        <v/>
      </c>
      <c r="Q38" s="427">
        <f>SUM(Q33:Q37)</f>
        <v/>
      </c>
      <c r="R38" s="427">
        <f>SUM(R33:R37)</f>
        <v/>
      </c>
      <c r="S38" s="428">
        <f>O38+K38+G38+C38</f>
        <v/>
      </c>
    </row>
    <row r="39" ht="14.5" customHeight="1" s="408">
      <c r="A39" s="434" t="inlineStr">
        <is>
          <t>投資活動產生的現金流量淨額</t>
        </is>
      </c>
      <c r="B39" s="416" t="n"/>
      <c r="C39" s="420">
        <f>SUM(D39:F39)</f>
        <v/>
      </c>
      <c r="D39" s="420">
        <f>D31-D38</f>
        <v/>
      </c>
      <c r="E39" s="420">
        <f>E31-E38</f>
        <v/>
      </c>
      <c r="F39" s="420">
        <f>F31-F38</f>
        <v/>
      </c>
      <c r="G39" s="420">
        <f>SUM(H39:J39)</f>
        <v/>
      </c>
      <c r="H39" s="420">
        <f>H31-H38</f>
        <v/>
      </c>
      <c r="I39" s="420">
        <f>I31-I38</f>
        <v/>
      </c>
      <c r="J39" s="420">
        <f>J31-J38</f>
        <v/>
      </c>
      <c r="K39" s="420">
        <f>SUM(L39:N39)</f>
        <v/>
      </c>
      <c r="L39" s="420">
        <f>L31-L38</f>
        <v/>
      </c>
      <c r="M39" s="420">
        <f>M31-M38</f>
        <v/>
      </c>
      <c r="N39" s="420">
        <f>N31-N38</f>
        <v/>
      </c>
      <c r="O39" s="420">
        <f>SUM(P39:R39)</f>
        <v/>
      </c>
      <c r="P39" s="420">
        <f>P31-P38</f>
        <v/>
      </c>
      <c r="Q39" s="420">
        <f>Q31-Q38</f>
        <v/>
      </c>
      <c r="R39" s="420">
        <f>R31-R38</f>
        <v/>
      </c>
      <c r="S39" s="423">
        <f>O39+K39+G39+C39</f>
        <v/>
      </c>
    </row>
    <row r="40" ht="14.5" customHeight="1" s="408">
      <c r="A40" s="415" t="inlineStr">
        <is>
          <t>三、籌資活動現金流量</t>
        </is>
      </c>
      <c r="B40" s="416" t="n"/>
      <c r="C40" s="420" t="n"/>
      <c r="D40" s="420" t="n"/>
      <c r="E40" s="420" t="n"/>
      <c r="F40" s="420" t="n"/>
      <c r="G40" s="420" t="n"/>
      <c r="H40" s="420" t="n"/>
      <c r="I40" s="420" t="n"/>
      <c r="J40" s="420" t="n"/>
      <c r="K40" s="420" t="n"/>
      <c r="L40" s="420" t="n"/>
      <c r="M40" s="420" t="n"/>
      <c r="N40" s="420" t="n"/>
      <c r="O40" s="420" t="n"/>
      <c r="P40" s="420" t="n"/>
      <c r="Q40" s="420" t="n"/>
      <c r="R40" s="420" t="n"/>
      <c r="S40" s="423" t="n"/>
    </row>
    <row r="41" ht="14.5" customHeight="1" s="408">
      <c r="A41" s="419" t="inlineStr">
        <is>
          <t>吸收投資所收到的現金</t>
        </is>
      </c>
      <c r="B41" s="424" t="n"/>
      <c r="C41" s="420">
        <f>SUM(D41:F41)</f>
        <v/>
      </c>
      <c r="D41" s="420" t="n"/>
      <c r="E41" s="420" t="n"/>
      <c r="F41" s="420" t="n"/>
      <c r="G41" s="420">
        <f>SUM(H41:J41)</f>
        <v/>
      </c>
      <c r="H41" s="420" t="n"/>
      <c r="I41" s="420" t="n"/>
      <c r="J41" s="420" t="n"/>
      <c r="K41" s="420">
        <f>SUM(L41:N41)</f>
        <v/>
      </c>
      <c r="L41" s="420" t="n"/>
      <c r="M41" s="420" t="n"/>
      <c r="N41" s="420" t="n"/>
      <c r="O41" s="420">
        <f>SUM(P41:R41)</f>
        <v/>
      </c>
      <c r="P41" s="420" t="n"/>
      <c r="Q41" s="420" t="n"/>
      <c r="R41" s="420" t="n"/>
      <c r="S41" s="423">
        <f>O41+K41+G41+C41</f>
        <v/>
      </c>
    </row>
    <row r="42" ht="14.5" customHeight="1" s="408">
      <c r="A42" s="419" t="inlineStr">
        <is>
          <t>借款收到的現金</t>
        </is>
      </c>
      <c r="B42" s="424" t="n"/>
      <c r="C42" s="420">
        <f>SUM(D42:F42)</f>
        <v/>
      </c>
      <c r="D42" s="420" t="n"/>
      <c r="E42" s="420" t="n"/>
      <c r="F42" s="420" t="n"/>
      <c r="G42" s="420">
        <f>SUM(H42:J42)</f>
        <v/>
      </c>
      <c r="H42" s="420" t="n"/>
      <c r="I42" s="420" t="n"/>
      <c r="J42" s="420" t="n"/>
      <c r="K42" s="420">
        <f>SUM(L42:N42)</f>
        <v/>
      </c>
      <c r="L42" s="420" t="n"/>
      <c r="M42" s="420" t="n"/>
      <c r="N42" s="420" t="n"/>
      <c r="O42" s="420">
        <f>SUM(P42:R42)</f>
        <v/>
      </c>
      <c r="P42" s="420" t="n"/>
      <c r="Q42" s="420" t="n"/>
      <c r="R42" s="420" t="n"/>
      <c r="S42" s="423">
        <f>O42+K42+G42+C42</f>
        <v/>
      </c>
    </row>
    <row r="43" ht="14.5" customHeight="1" s="408">
      <c r="A43" s="419" t="inlineStr">
        <is>
          <t>收到的其他與籌資活動有關的現金</t>
        </is>
      </c>
      <c r="B43" s="424" t="n"/>
      <c r="C43" s="420">
        <f>SUM(D43:F43)</f>
        <v/>
      </c>
      <c r="D43" s="420" t="n"/>
      <c r="E43" s="420" t="n"/>
      <c r="F43" s="420" t="n"/>
      <c r="G43" s="420">
        <f>SUM(H43:J43)</f>
        <v/>
      </c>
      <c r="H43" s="420" t="n"/>
      <c r="I43" s="420" t="n"/>
      <c r="J43" s="420" t="n"/>
      <c r="K43" s="420">
        <f>SUM(L43:N43)</f>
        <v/>
      </c>
      <c r="L43" s="420" t="n"/>
      <c r="M43" s="420" t="n"/>
      <c r="N43" s="420" t="n"/>
      <c r="O43" s="420">
        <f>SUM(P43:R43)</f>
        <v/>
      </c>
      <c r="P43" s="420" t="n"/>
      <c r="Q43" s="420" t="n"/>
      <c r="R43" s="420" t="n"/>
      <c r="S43" s="423">
        <f>O43+K43+G43+C43</f>
        <v/>
      </c>
    </row>
    <row r="44" ht="14.5" customHeight="1" s="408">
      <c r="A44" s="425" t="inlineStr">
        <is>
          <t>（三）籌資活動產生現金流入小計</t>
        </is>
      </c>
      <c r="B44" s="426" t="n"/>
      <c r="C44" s="427">
        <f>SUM(D44:F44)</f>
        <v/>
      </c>
      <c r="D44" s="427">
        <f>SUM(D41:D43)</f>
        <v/>
      </c>
      <c r="E44" s="427">
        <f>SUM(E41:E43)</f>
        <v/>
      </c>
      <c r="F44" s="427">
        <f>SUM(F41:F43)</f>
        <v/>
      </c>
      <c r="G44" s="427">
        <f>SUM(H44:J44)</f>
        <v/>
      </c>
      <c r="H44" s="427">
        <f>SUM(H41:H43)</f>
        <v/>
      </c>
      <c r="I44" s="427">
        <f>SUM(I41:I43)</f>
        <v/>
      </c>
      <c r="J44" s="427">
        <f>SUM(J41:J43)</f>
        <v/>
      </c>
      <c r="K44" s="427">
        <f>SUM(L44:N44)</f>
        <v/>
      </c>
      <c r="L44" s="427">
        <f>SUM(L41:L43)</f>
        <v/>
      </c>
      <c r="M44" s="427">
        <f>SUM(M41:M43)</f>
        <v/>
      </c>
      <c r="N44" s="427">
        <f>SUM(N41:N43)</f>
        <v/>
      </c>
      <c r="O44" s="427">
        <f>SUM(P44:R44)</f>
        <v/>
      </c>
      <c r="P44" s="427">
        <f>SUM(P41:P43)</f>
        <v/>
      </c>
      <c r="Q44" s="427">
        <f>SUM(Q41:Q43)</f>
        <v/>
      </c>
      <c r="R44" s="427">
        <f>SUM(R41:R43)</f>
        <v/>
      </c>
      <c r="S44" s="428">
        <f>O44+K44+G44+C44</f>
        <v/>
      </c>
    </row>
    <row r="45" ht="14.5" customHeight="1" s="408">
      <c r="A45" s="430" t="inlineStr">
        <is>
          <t>1、償還債務所支付的現金</t>
        </is>
      </c>
      <c r="B45" s="424" t="n"/>
      <c r="C45" s="420">
        <f>SUM(D45:F45)</f>
        <v/>
      </c>
      <c r="D45" s="420" t="n"/>
      <c r="E45" s="420" t="n"/>
      <c r="F45" s="420" t="n"/>
      <c r="G45" s="420">
        <f>SUM(H45:J45)</f>
        <v/>
      </c>
      <c r="H45" s="420" t="n"/>
      <c r="I45" s="420" t="n"/>
      <c r="J45" s="420" t="n"/>
      <c r="K45" s="420">
        <f>SUM(L45:N45)</f>
        <v/>
      </c>
      <c r="L45" s="420" t="n"/>
      <c r="M45" s="420" t="n"/>
      <c r="N45" s="420" t="n"/>
      <c r="O45" s="420">
        <f>SUM(P45:R45)</f>
        <v/>
      </c>
      <c r="P45" s="420" t="n"/>
      <c r="Q45" s="420" t="n"/>
      <c r="R45" s="420" t="n"/>
      <c r="S45" s="423">
        <f>O45+K45+G45+C45</f>
        <v/>
      </c>
    </row>
    <row r="46" ht="14.5" customHeight="1" s="408">
      <c r="A46" s="419" t="inlineStr">
        <is>
          <t>3、財務費用現金支出</t>
        </is>
      </c>
      <c r="B46" s="436" t="n"/>
      <c r="C46" s="420">
        <f>SUM(D46:F46)</f>
        <v/>
      </c>
      <c r="D46" s="420" t="n"/>
      <c r="E46" s="420" t="n"/>
      <c r="F46" s="420" t="n"/>
      <c r="G46" s="420">
        <f>SUM(H46:J46)</f>
        <v/>
      </c>
      <c r="H46" s="420" t="n"/>
      <c r="I46" s="420" t="n"/>
      <c r="J46" s="420" t="n"/>
      <c r="K46" s="420">
        <f>SUM(L46:N46)</f>
        <v/>
      </c>
      <c r="L46" s="420" t="n"/>
      <c r="M46" s="420" t="n"/>
      <c r="N46" s="420" t="n"/>
      <c r="O46" s="420">
        <f>SUM(P46:R46)</f>
        <v/>
      </c>
      <c r="P46" s="420" t="n"/>
      <c r="Q46" s="420" t="n"/>
      <c r="R46" s="420" t="n"/>
      <c r="S46" s="423">
        <f>O46+K46+G46+C46</f>
        <v/>
      </c>
    </row>
    <row r="47" ht="14.5" customHeight="1" s="408">
      <c r="A47" s="430" t="inlineStr">
        <is>
          <t>2、分配股利或利潤付現</t>
        </is>
      </c>
      <c r="B47" s="424" t="n"/>
      <c r="C47" s="420">
        <f>SUM(D47:F47)</f>
        <v/>
      </c>
      <c r="D47" s="420" t="n"/>
      <c r="E47" s="420" t="n"/>
      <c r="F47" s="420" t="n"/>
      <c r="G47" s="420">
        <f>SUM(H47:J47)</f>
        <v/>
      </c>
      <c r="H47" s="420" t="n"/>
      <c r="I47" s="420" t="n"/>
      <c r="J47" s="420" t="n"/>
      <c r="K47" s="420">
        <f>SUM(L47:N47)</f>
        <v/>
      </c>
      <c r="L47" s="420" t="n"/>
      <c r="M47" s="420" t="n"/>
      <c r="N47" s="420" t="n"/>
      <c r="O47" s="420">
        <f>SUM(P47:R47)</f>
        <v/>
      </c>
      <c r="P47" s="420" t="n"/>
      <c r="Q47" s="420" t="n"/>
      <c r="R47" s="420" t="n"/>
      <c r="S47" s="423">
        <f>O47+K47+G47+C47</f>
        <v/>
      </c>
    </row>
    <row r="48" ht="14.5" customHeight="1" s="408">
      <c r="A48" s="430" t="inlineStr">
        <is>
          <t>3、支付的其他與籌資活動有關的現金</t>
        </is>
      </c>
      <c r="B48" s="424" t="n"/>
      <c r="C48" s="420">
        <f>SUM(D48:F48)</f>
        <v/>
      </c>
      <c r="D48" s="420" t="n"/>
      <c r="E48" s="420" t="n"/>
      <c r="F48" s="420" t="n"/>
      <c r="G48" s="420">
        <f>SUM(H48:J48)</f>
        <v/>
      </c>
      <c r="H48" s="420" t="n"/>
      <c r="I48" s="420" t="n"/>
      <c r="J48" s="420" t="n"/>
      <c r="K48" s="420">
        <f>SUM(L48:N48)</f>
        <v/>
      </c>
      <c r="L48" s="420" t="n"/>
      <c r="M48" s="420" t="n"/>
      <c r="N48" s="420" t="n"/>
      <c r="O48" s="420">
        <f>SUM(P48:R48)</f>
        <v/>
      </c>
      <c r="P48" s="420" t="n"/>
      <c r="Q48" s="420" t="n"/>
      <c r="R48" s="420" t="n"/>
      <c r="S48" s="423">
        <f>O48+K48+G48+C48</f>
        <v/>
      </c>
    </row>
    <row r="49" ht="14.5" customHeight="1" s="408">
      <c r="A49" s="433" t="inlineStr">
        <is>
          <t>籌資活動產生現金流出小計</t>
        </is>
      </c>
      <c r="B49" s="426" t="n"/>
      <c r="C49" s="427">
        <f>SUM(D49:F49)</f>
        <v/>
      </c>
      <c r="D49" s="427">
        <f>SUM(D45:D48)</f>
        <v/>
      </c>
      <c r="E49" s="427">
        <f>SUM(E45:E48)</f>
        <v/>
      </c>
      <c r="F49" s="427">
        <f>SUM(F45:F48)</f>
        <v/>
      </c>
      <c r="G49" s="427">
        <f>SUM(H49:J49)</f>
        <v/>
      </c>
      <c r="H49" s="427">
        <f>SUM(H45:H48)</f>
        <v/>
      </c>
      <c r="I49" s="427">
        <f>SUM(I45:I48)</f>
        <v/>
      </c>
      <c r="J49" s="427">
        <f>SUM(J45:J48)</f>
        <v/>
      </c>
      <c r="K49" s="427">
        <f>SUM(L49:N49)</f>
        <v/>
      </c>
      <c r="L49" s="427">
        <f>SUM(L45:L48)</f>
        <v/>
      </c>
      <c r="M49" s="427">
        <f>SUM(M45:M48)</f>
        <v/>
      </c>
      <c r="N49" s="427">
        <f>SUM(N45:N48)</f>
        <v/>
      </c>
      <c r="O49" s="427">
        <f>SUM(P49:R49)</f>
        <v/>
      </c>
      <c r="P49" s="427">
        <f>SUM(P45:P48)</f>
        <v/>
      </c>
      <c r="Q49" s="427">
        <f>SUM(Q45:Q48)</f>
        <v/>
      </c>
      <c r="R49" s="427">
        <f>SUM(R45:R48)</f>
        <v/>
      </c>
      <c r="S49" s="428">
        <f>O49+K49+G49+C49</f>
        <v/>
      </c>
    </row>
    <row r="50" ht="14.5" customHeight="1" s="408">
      <c r="A50" s="434" t="inlineStr">
        <is>
          <t>籌資活動產生的現金流量淨額</t>
        </is>
      </c>
      <c r="B50" s="416" t="n"/>
      <c r="C50" s="420">
        <f>SUM(D50:F50)</f>
        <v/>
      </c>
      <c r="D50" s="420">
        <f>D44-D49</f>
        <v/>
      </c>
      <c r="E50" s="420">
        <f>E44-E49</f>
        <v/>
      </c>
      <c r="F50" s="420">
        <f>F44-F49</f>
        <v/>
      </c>
      <c r="G50" s="420">
        <f>SUM(H50:J50)</f>
        <v/>
      </c>
      <c r="H50" s="420">
        <f>H44-H49</f>
        <v/>
      </c>
      <c r="I50" s="420">
        <f>I44-I49</f>
        <v/>
      </c>
      <c r="J50" s="420">
        <f>J44-J49</f>
        <v/>
      </c>
      <c r="K50" s="420">
        <f>SUM(L50:N50)</f>
        <v/>
      </c>
      <c r="L50" s="420">
        <f>L44-L49</f>
        <v/>
      </c>
      <c r="M50" s="420">
        <f>M44-M49</f>
        <v/>
      </c>
      <c r="N50" s="420">
        <f>N44-N49</f>
        <v/>
      </c>
      <c r="O50" s="420">
        <f>SUM(P50:R50)</f>
        <v/>
      </c>
      <c r="P50" s="420">
        <f>P44-P49</f>
        <v/>
      </c>
      <c r="Q50" s="420">
        <f>Q44-Q49</f>
        <v/>
      </c>
      <c r="R50" s="420">
        <f>R44-R49</f>
        <v/>
      </c>
      <c r="S50" s="423">
        <f>O50+K50+G50+C50</f>
        <v/>
      </c>
    </row>
    <row r="51" ht="14.5" customHeight="1" s="408">
      <c r="A51" s="433" t="inlineStr">
        <is>
          <t>現金流出合計</t>
        </is>
      </c>
      <c r="B51" s="426" t="n"/>
      <c r="C51" s="427">
        <f>SUM(D51:F51)</f>
        <v/>
      </c>
      <c r="D51" s="427">
        <f>D22+D38+D49</f>
        <v/>
      </c>
      <c r="E51" s="427">
        <f>E22+E38+E49</f>
        <v/>
      </c>
      <c r="F51" s="427">
        <f>F22+F38+F49</f>
        <v/>
      </c>
      <c r="G51" s="427">
        <f>SUM(H51:J51)</f>
        <v/>
      </c>
      <c r="H51" s="427">
        <f>H22+H38+H49</f>
        <v/>
      </c>
      <c r="I51" s="427">
        <f>I22+I38+I49</f>
        <v/>
      </c>
      <c r="J51" s="427">
        <f>J22+J38+J49</f>
        <v/>
      </c>
      <c r="K51" s="427">
        <f>SUM(L51:N51)</f>
        <v/>
      </c>
      <c r="L51" s="427">
        <f>L22+L38+L49</f>
        <v/>
      </c>
      <c r="M51" s="427">
        <f>M22+M38+M49</f>
        <v/>
      </c>
      <c r="N51" s="427">
        <f>N22+N38+N49</f>
        <v/>
      </c>
      <c r="O51" s="427">
        <f>SUM(P51:R51)</f>
        <v/>
      </c>
      <c r="P51" s="427">
        <f>P22+P38+P49</f>
        <v/>
      </c>
      <c r="Q51" s="427">
        <f>Q22+Q38+Q49</f>
        <v/>
      </c>
      <c r="R51" s="427">
        <f>R22+R38+R49</f>
        <v/>
      </c>
      <c r="S51" s="428">
        <f>O51+K51+G51+C51</f>
        <v/>
      </c>
    </row>
    <row r="52" ht="14.5" customHeight="1" s="408">
      <c r="A52" s="437" t="inlineStr">
        <is>
          <t>現金流入合計</t>
        </is>
      </c>
      <c r="B52" s="426" t="n"/>
      <c r="C52" s="427">
        <f>SUM(D52:F52)</f>
        <v/>
      </c>
      <c r="D52" s="427">
        <f>D11+D31+D44</f>
        <v/>
      </c>
      <c r="E52" s="427">
        <f>E11+E31+E44</f>
        <v/>
      </c>
      <c r="F52" s="427">
        <f>F11+F31+F44</f>
        <v/>
      </c>
      <c r="G52" s="427">
        <f>SUM(H52:J52)</f>
        <v/>
      </c>
      <c r="H52" s="427">
        <f>H11+H31+H44</f>
        <v/>
      </c>
      <c r="I52" s="427">
        <f>I11+I31+I44</f>
        <v/>
      </c>
      <c r="J52" s="427">
        <f>J11+J31+J44</f>
        <v/>
      </c>
      <c r="K52" s="427">
        <f>SUM(L52:N52)</f>
        <v/>
      </c>
      <c r="L52" s="427">
        <f>L11+L31+L44</f>
        <v/>
      </c>
      <c r="M52" s="427">
        <f>M11+M31+M44</f>
        <v/>
      </c>
      <c r="N52" s="427">
        <f>N11+N31+N44</f>
        <v/>
      </c>
      <c r="O52" s="427">
        <f>SUM(P52:R52)</f>
        <v/>
      </c>
      <c r="P52" s="427">
        <f>P11+P31+P44</f>
        <v/>
      </c>
      <c r="Q52" s="427">
        <f>Q11+Q31+Q44</f>
        <v/>
      </c>
      <c r="R52" s="427">
        <f>R11+R31+R44</f>
        <v/>
      </c>
      <c r="S52" s="428">
        <f>O52+K52+G52+C52</f>
        <v/>
      </c>
    </row>
    <row r="53" ht="14.5" customHeight="1" s="408">
      <c r="A53" s="438" t="inlineStr">
        <is>
          <t>三、現金淨流量</t>
        </is>
      </c>
      <c r="B53" s="416" t="n"/>
      <c r="C53" s="420">
        <f>SUM(D53:F53)</f>
        <v/>
      </c>
      <c r="D53" s="420">
        <f>D52-D51</f>
        <v/>
      </c>
      <c r="E53" s="420">
        <f>E52-E51</f>
        <v/>
      </c>
      <c r="F53" s="420">
        <f>F52-F51</f>
        <v/>
      </c>
      <c r="G53" s="420">
        <f>SUM(H53:J53)</f>
        <v/>
      </c>
      <c r="H53" s="420">
        <f>H52-H51</f>
        <v/>
      </c>
      <c r="I53" s="420">
        <f>I52-I51</f>
        <v/>
      </c>
      <c r="J53" s="420">
        <f>J52-J51</f>
        <v/>
      </c>
      <c r="K53" s="420">
        <f>SUM(L53:N53)</f>
        <v/>
      </c>
      <c r="L53" s="420">
        <f>L52-L51</f>
        <v/>
      </c>
      <c r="M53" s="420">
        <f>M52-M51</f>
        <v/>
      </c>
      <c r="N53" s="420">
        <f>N52-N51</f>
        <v/>
      </c>
      <c r="O53" s="420">
        <f>SUM(P53:R53)</f>
        <v/>
      </c>
      <c r="P53" s="420">
        <f>P52-P51</f>
        <v/>
      </c>
      <c r="Q53" s="420">
        <f>Q52-Q51</f>
        <v/>
      </c>
      <c r="R53" s="420">
        <f>R52-R51</f>
        <v/>
      </c>
      <c r="S53" s="423">
        <f>O53+K53+G53+C53</f>
        <v/>
      </c>
    </row>
    <row r="54" ht="14.5" customHeight="1" s="408">
      <c r="A54" s="438" t="inlineStr">
        <is>
          <t>四、期初餘額</t>
        </is>
      </c>
      <c r="B54" s="416" t="n"/>
      <c r="C54" s="420" t="n">
        <v>0</v>
      </c>
      <c r="D54" s="420">
        <f>C54</f>
        <v/>
      </c>
      <c r="E54" s="420">
        <f>D55</f>
        <v/>
      </c>
      <c r="F54" s="420">
        <f>E55</f>
        <v/>
      </c>
      <c r="G54" s="420">
        <f>J54</f>
        <v/>
      </c>
      <c r="H54" s="420">
        <f>F55</f>
        <v/>
      </c>
      <c r="I54" s="420">
        <f>H55</f>
        <v/>
      </c>
      <c r="J54" s="420">
        <f>I55</f>
        <v/>
      </c>
      <c r="K54" s="420">
        <f>N54</f>
        <v/>
      </c>
      <c r="L54" s="420">
        <f>J55</f>
        <v/>
      </c>
      <c r="M54" s="420">
        <f>L55</f>
        <v/>
      </c>
      <c r="N54" s="420">
        <f>M55</f>
        <v/>
      </c>
      <c r="O54" s="420">
        <f>R54</f>
        <v/>
      </c>
      <c r="P54" s="420">
        <f>N55</f>
        <v/>
      </c>
      <c r="Q54" s="420">
        <f>P55</f>
        <v/>
      </c>
      <c r="R54" s="420">
        <f>Q55</f>
        <v/>
      </c>
      <c r="S54" s="423">
        <f>D54</f>
        <v/>
      </c>
    </row>
    <row r="55" ht="15" customHeight="1" s="408" thickBot="1">
      <c r="A55" s="439" t="inlineStr">
        <is>
          <t>五、期末餘額</t>
        </is>
      </c>
      <c r="B55" s="440" t="n"/>
      <c r="C55" s="441">
        <f>F55</f>
        <v/>
      </c>
      <c r="D55" s="441">
        <f>D53+D54</f>
        <v/>
      </c>
      <c r="E55" s="441">
        <f>E53+E54</f>
        <v/>
      </c>
      <c r="F55" s="441">
        <f>F53+F54</f>
        <v/>
      </c>
      <c r="G55" s="441">
        <f>J55</f>
        <v/>
      </c>
      <c r="H55" s="441">
        <f>H53+H54</f>
        <v/>
      </c>
      <c r="I55" s="441">
        <f>I53+I54</f>
        <v/>
      </c>
      <c r="J55" s="441">
        <f>J53+J54</f>
        <v/>
      </c>
      <c r="K55" s="441">
        <f>N55</f>
        <v/>
      </c>
      <c r="L55" s="441">
        <f>L53+L54</f>
        <v/>
      </c>
      <c r="M55" s="441">
        <f>M53+M54</f>
        <v/>
      </c>
      <c r="N55" s="441">
        <f>N53+N54</f>
        <v/>
      </c>
      <c r="O55" s="441">
        <f>R55</f>
        <v/>
      </c>
      <c r="P55" s="441">
        <f>P53+P54</f>
        <v/>
      </c>
      <c r="Q55" s="441">
        <f>Q53+Q54</f>
        <v/>
      </c>
      <c r="R55" s="441">
        <f>R53+R54</f>
        <v/>
      </c>
      <c r="S55" s="442">
        <f>S53+S54</f>
        <v/>
      </c>
    </row>
  </sheetData>
  <mergeCells count="1">
    <mergeCell ref="A1:S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Y32"/>
  <sheetViews>
    <sheetView topLeftCell="A2" workbookViewId="0">
      <selection activeCell="E7" sqref="E7"/>
    </sheetView>
  </sheetViews>
  <sheetFormatPr baseColWidth="8" defaultRowHeight="14"/>
  <cols>
    <col width="21.54296875" customWidth="1" style="408" min="1" max="1"/>
    <col width="12.08984375" customWidth="1" style="408" min="2" max="2"/>
  </cols>
  <sheetData>
    <row r="1" ht="24" customHeight="1" s="408">
      <c r="A1" s="46" t="inlineStr">
        <is>
          <t>主營成本支出現金預算表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inlineStr">
        <is>
          <t>預算年度：</t>
        </is>
      </c>
      <c r="M2" s="266" t="n"/>
      <c r="N2" s="266" t="n"/>
      <c r="O2" s="266" t="n"/>
      <c r="P2" s="266" t="n"/>
      <c r="Q2" s="266" t="n"/>
      <c r="R2" s="266" t="n"/>
      <c r="S2" s="266" t="n"/>
      <c r="T2" s="266" t="n"/>
      <c r="U2" s="266" t="inlineStr">
        <is>
          <t>製表人：</t>
        </is>
      </c>
      <c r="V2" s="266" t="n"/>
      <c r="W2" s="266" t="n"/>
      <c r="X2" s="266" t="n"/>
      <c r="Y2" s="266" t="n"/>
    </row>
    <row r="3" ht="14.5" customHeight="1" s="408">
      <c r="A3" s="443" t="inlineStr">
        <is>
          <t>專案名稱</t>
        </is>
      </c>
      <c r="B3" s="444" t="inlineStr">
        <is>
          <t>專案預算總額</t>
        </is>
      </c>
      <c r="C3" s="445" t="inlineStr">
        <is>
          <t>上年餘額</t>
        </is>
      </c>
      <c r="D3" s="446" t="inlineStr">
        <is>
          <t>本年預計現金流出量</t>
        </is>
      </c>
      <c r="E3" s="447" t="n"/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447" t="n"/>
      <c r="S3" s="447" t="n"/>
      <c r="T3" s="447" t="n"/>
      <c r="U3" s="448" t="inlineStr">
        <is>
          <t>本年結轉額</t>
        </is>
      </c>
      <c r="V3" s="449" t="n"/>
      <c r="W3" s="450" t="inlineStr">
        <is>
          <t>本年餘額</t>
        </is>
      </c>
      <c r="X3" s="450" t="inlineStr">
        <is>
          <t>應付帳款</t>
        </is>
      </c>
      <c r="Y3" s="56" t="inlineStr">
        <is>
          <t>預算責任人</t>
        </is>
      </c>
    </row>
    <row r="4" ht="29.5" customHeight="1" s="408" thickBot="1">
      <c r="A4" s="451" t="n"/>
      <c r="B4" s="452" t="n"/>
      <c r="C4" s="453" t="n"/>
      <c r="D4" s="454" t="inlineStr">
        <is>
          <t>１季度</t>
        </is>
      </c>
      <c r="E4" s="455" t="inlineStr">
        <is>
          <t>1月</t>
        </is>
      </c>
      <c r="F4" s="455" t="inlineStr">
        <is>
          <t>2月</t>
        </is>
      </c>
      <c r="G4" s="456" t="inlineStr">
        <is>
          <t>3月</t>
        </is>
      </c>
      <c r="H4" s="457" t="inlineStr">
        <is>
          <t>２季度</t>
        </is>
      </c>
      <c r="I4" s="455" t="inlineStr">
        <is>
          <t>4月</t>
        </is>
      </c>
      <c r="J4" s="455" t="inlineStr">
        <is>
          <t>5月</t>
        </is>
      </c>
      <c r="K4" s="458" t="inlineStr">
        <is>
          <t>6月</t>
        </is>
      </c>
      <c r="L4" s="454" t="inlineStr">
        <is>
          <t>３季度</t>
        </is>
      </c>
      <c r="M4" s="455" t="inlineStr">
        <is>
          <t>7月</t>
        </is>
      </c>
      <c r="N4" s="455" t="inlineStr">
        <is>
          <t>8月</t>
        </is>
      </c>
      <c r="O4" s="456" t="inlineStr">
        <is>
          <t>9月</t>
        </is>
      </c>
      <c r="P4" s="457" t="inlineStr">
        <is>
          <t>４季度</t>
        </is>
      </c>
      <c r="Q4" s="459" t="inlineStr">
        <is>
          <t>10月</t>
        </is>
      </c>
      <c r="R4" s="459" t="inlineStr">
        <is>
          <t>11月</t>
        </is>
      </c>
      <c r="S4" s="460" t="inlineStr">
        <is>
          <t>12月</t>
        </is>
      </c>
      <c r="T4" s="461" t="inlineStr">
        <is>
          <t>合計</t>
        </is>
      </c>
      <c r="U4" s="462" t="inlineStr">
        <is>
          <t>轉入完工產品</t>
        </is>
      </c>
      <c r="V4" s="463" t="inlineStr">
        <is>
          <t>轉入銷售成本</t>
        </is>
      </c>
      <c r="W4" s="464" t="n"/>
      <c r="X4" s="464" t="n"/>
      <c r="Y4" s="465" t="n"/>
    </row>
    <row r="5" ht="29.5" customHeight="1" s="408" thickTop="1">
      <c r="A5" s="466" t="inlineStr">
        <is>
          <t>一、專案1</t>
        </is>
      </c>
      <c r="B5" s="467" t="n"/>
      <c r="C5" s="468" t="n"/>
      <c r="D5" s="468" t="n"/>
      <c r="E5" s="468" t="n"/>
      <c r="F5" s="468" t="n"/>
      <c r="G5" s="468" t="n"/>
      <c r="H5" s="468" t="n"/>
      <c r="I5" s="468" t="n"/>
      <c r="J5" s="468" t="n"/>
      <c r="K5" s="468" t="n"/>
      <c r="L5" s="468" t="n"/>
      <c r="M5" s="468" t="n"/>
      <c r="N5" s="468" t="n"/>
      <c r="O5" s="468" t="n"/>
      <c r="P5" s="468" t="n"/>
      <c r="Q5" s="468" t="n"/>
      <c r="R5" s="468" t="n"/>
      <c r="S5" s="469" t="n"/>
      <c r="T5" s="469" t="n"/>
      <c r="U5" s="469" t="n"/>
      <c r="V5" s="469" t="n"/>
      <c r="W5" s="469" t="n"/>
      <c r="X5" s="469" t="n"/>
      <c r="Y5" s="470" t="n"/>
    </row>
    <row r="6" ht="29" customHeight="1" s="408">
      <c r="A6" s="73" t="inlineStr">
        <is>
          <t>土地費</t>
        </is>
      </c>
      <c r="B6" s="471">
        <f>T6</f>
        <v/>
      </c>
      <c r="C6" s="472" t="n"/>
      <c r="D6" s="417">
        <f>SUM(E6:G6)</f>
        <v/>
      </c>
      <c r="E6" s="472" t="n"/>
      <c r="F6" s="472" t="n"/>
      <c r="G6" s="472" t="n"/>
      <c r="H6" s="417">
        <f>SUM(I6:K6)</f>
        <v/>
      </c>
      <c r="I6" s="472" t="n"/>
      <c r="J6" s="472" t="n"/>
      <c r="K6" s="472" t="n"/>
      <c r="L6" s="417">
        <f>SUM(M6:O6)</f>
        <v/>
      </c>
      <c r="M6" s="472" t="n"/>
      <c r="N6" s="472" t="n"/>
      <c r="O6" s="472" t="n"/>
      <c r="P6" s="417">
        <f>SUM(Q6:S6)</f>
        <v/>
      </c>
      <c r="Q6" s="472" t="n"/>
      <c r="R6" s="472" t="n"/>
      <c r="S6" s="472" t="n"/>
      <c r="T6" s="417">
        <f>P6+L6+H6+D6</f>
        <v/>
      </c>
      <c r="U6" s="417">
        <f>B6-V6</f>
        <v/>
      </c>
      <c r="V6" s="473">
        <f>B6*100%</f>
        <v/>
      </c>
      <c r="W6" s="473">
        <f>B6-V6-U6</f>
        <v/>
      </c>
      <c r="X6" s="473">
        <f>B6-C6-T6</f>
        <v/>
      </c>
      <c r="Y6" s="474" t="n"/>
    </row>
    <row r="7" ht="14.5" customHeight="1" s="408">
      <c r="A7" s="78" t="inlineStr">
        <is>
          <t>前期工程費</t>
        </is>
      </c>
      <c r="B7" s="471">
        <f>T7</f>
        <v/>
      </c>
      <c r="C7" s="472" t="n"/>
      <c r="D7" s="417">
        <f>SUM(E7:G7)</f>
        <v/>
      </c>
      <c r="E7" s="472" t="n"/>
      <c r="F7" s="472" t="n"/>
      <c r="G7" s="472" t="n"/>
      <c r="H7" s="417">
        <f>SUM(I7:K7)</f>
        <v/>
      </c>
      <c r="I7" s="472" t="n"/>
      <c r="J7" s="472" t="n"/>
      <c r="K7" s="472" t="n"/>
      <c r="L7" s="417">
        <f>SUM(M7:O7)</f>
        <v/>
      </c>
      <c r="M7" s="472" t="n"/>
      <c r="N7" s="472" t="n"/>
      <c r="O7" s="472" t="n"/>
      <c r="P7" s="417">
        <f>SUM(Q7:S7)</f>
        <v/>
      </c>
      <c r="Q7" s="472" t="n"/>
      <c r="R7" s="472" t="n"/>
      <c r="S7" s="472" t="n"/>
      <c r="T7" s="417">
        <f>P7+L7+H7+D7</f>
        <v/>
      </c>
      <c r="U7" s="417">
        <f>B7-V7</f>
        <v/>
      </c>
      <c r="V7" s="473">
        <f>B7*100%</f>
        <v/>
      </c>
      <c r="W7" s="473">
        <f>B7-V7-U7</f>
        <v/>
      </c>
      <c r="X7" s="473">
        <f>B7-C7-T7</f>
        <v/>
      </c>
      <c r="Y7" s="474" t="n"/>
    </row>
    <row r="8" ht="14.5" customHeight="1" s="408">
      <c r="A8" s="79" t="inlineStr">
        <is>
          <t>建安及裝修工程費</t>
        </is>
      </c>
      <c r="B8" s="471">
        <f>T8</f>
        <v/>
      </c>
      <c r="C8" s="472" t="n"/>
      <c r="D8" s="417">
        <f>SUM(E8:G8)</f>
        <v/>
      </c>
      <c r="E8" s="472" t="n"/>
      <c r="F8" s="472" t="n"/>
      <c r="G8" s="472" t="n"/>
      <c r="H8" s="417">
        <f>SUM(I8:K8)</f>
        <v/>
      </c>
      <c r="I8" s="472" t="n"/>
      <c r="J8" s="472" t="n"/>
      <c r="K8" s="472" t="n"/>
      <c r="L8" s="417">
        <f>SUM(M8:O8)</f>
        <v/>
      </c>
      <c r="M8" s="472" t="n"/>
      <c r="N8" s="472" t="n"/>
      <c r="O8" s="472" t="n"/>
      <c r="P8" s="417">
        <f>SUM(Q8:S8)</f>
        <v/>
      </c>
      <c r="Q8" s="472" t="n"/>
      <c r="R8" s="472" t="n"/>
      <c r="S8" s="472" t="n"/>
      <c r="T8" s="417">
        <f>P8+L8+H8+D8</f>
        <v/>
      </c>
      <c r="U8" s="417">
        <f>B8-V8</f>
        <v/>
      </c>
      <c r="V8" s="473">
        <f>B8*100%</f>
        <v/>
      </c>
      <c r="W8" s="473">
        <f>B8-V8-U8</f>
        <v/>
      </c>
      <c r="X8" s="473">
        <f>B8-C8-T8</f>
        <v/>
      </c>
      <c r="Y8" s="474" t="n"/>
    </row>
    <row r="9" ht="14.5" customHeight="1" s="408">
      <c r="A9" s="80" t="inlineStr">
        <is>
          <t>基礎設施費</t>
        </is>
      </c>
      <c r="B9" s="471">
        <f>T9</f>
        <v/>
      </c>
      <c r="C9" s="472" t="n"/>
      <c r="D9" s="417">
        <f>SUM(E9:G9)</f>
        <v/>
      </c>
      <c r="E9" s="472" t="n"/>
      <c r="F9" s="472" t="n"/>
      <c r="G9" s="472" t="n"/>
      <c r="H9" s="417">
        <f>SUM(I9:K9)</f>
        <v/>
      </c>
      <c r="I9" s="472" t="n"/>
      <c r="J9" s="472" t="n"/>
      <c r="K9" s="472" t="n"/>
      <c r="L9" s="417">
        <f>SUM(M9:O9)</f>
        <v/>
      </c>
      <c r="M9" s="472" t="n"/>
      <c r="N9" s="472" t="n"/>
      <c r="O9" s="472" t="n"/>
      <c r="P9" s="417">
        <f>SUM(Q9:S9)</f>
        <v/>
      </c>
      <c r="Q9" s="472" t="n"/>
      <c r="R9" s="472" t="n"/>
      <c r="S9" s="472" t="n"/>
      <c r="T9" s="417">
        <f>P9+L9+H9+D9</f>
        <v/>
      </c>
      <c r="U9" s="417">
        <f>B9-V9</f>
        <v/>
      </c>
      <c r="V9" s="473">
        <f>B9*100%</f>
        <v/>
      </c>
      <c r="W9" s="473">
        <f>B9-V9-U9</f>
        <v/>
      </c>
      <c r="X9" s="473">
        <f>B9-C9-T9</f>
        <v/>
      </c>
      <c r="Y9" s="474" t="n"/>
    </row>
    <row r="10" ht="14.5" customHeight="1" s="408">
      <c r="A10" s="79" t="inlineStr">
        <is>
          <t>配套設施費</t>
        </is>
      </c>
      <c r="B10" s="471">
        <f>T10</f>
        <v/>
      </c>
      <c r="C10" s="472" t="n"/>
      <c r="D10" s="417">
        <f>SUM(E10:G10)</f>
        <v/>
      </c>
      <c r="E10" s="472" t="n"/>
      <c r="F10" s="472" t="n"/>
      <c r="G10" s="472" t="n"/>
      <c r="H10" s="417">
        <f>SUM(I10:K10)</f>
        <v/>
      </c>
      <c r="I10" s="472" t="n"/>
      <c r="J10" s="472" t="n"/>
      <c r="K10" s="472" t="n"/>
      <c r="L10" s="417">
        <f>SUM(M10:O10)</f>
        <v/>
      </c>
      <c r="M10" s="472" t="n"/>
      <c r="N10" s="472" t="n"/>
      <c r="O10" s="472" t="n"/>
      <c r="P10" s="417">
        <f>SUM(Q10:S10)</f>
        <v/>
      </c>
      <c r="Q10" s="472" t="n"/>
      <c r="R10" s="472" t="n"/>
      <c r="S10" s="472" t="n"/>
      <c r="T10" s="417">
        <f>P10+L10+H10+D10</f>
        <v/>
      </c>
      <c r="U10" s="417">
        <f>B10-V10</f>
        <v/>
      </c>
      <c r="V10" s="473">
        <f>B10*100%</f>
        <v/>
      </c>
      <c r="W10" s="473">
        <f>B10-V10-U10</f>
        <v/>
      </c>
      <c r="X10" s="473">
        <f>B10-C10-T10</f>
        <v/>
      </c>
      <c r="Y10" s="474" t="n"/>
    </row>
    <row r="11" ht="14.5" customHeight="1" s="408">
      <c r="A11" s="79" t="inlineStr">
        <is>
          <t>開發間接費</t>
        </is>
      </c>
      <c r="B11" s="471">
        <f>T11</f>
        <v/>
      </c>
      <c r="C11" s="472" t="n"/>
      <c r="D11" s="417">
        <f>SUM(E11:G11)</f>
        <v/>
      </c>
      <c r="E11" s="472" t="n"/>
      <c r="F11" s="472" t="n"/>
      <c r="G11" s="472" t="n"/>
      <c r="H11" s="417">
        <f>SUM(I11:K11)</f>
        <v/>
      </c>
      <c r="I11" s="472" t="n"/>
      <c r="J11" s="472" t="n"/>
      <c r="K11" s="472" t="n"/>
      <c r="L11" s="417">
        <f>SUM(M11:O11)</f>
        <v/>
      </c>
      <c r="M11" s="472" t="n"/>
      <c r="N11" s="472" t="n"/>
      <c r="O11" s="472" t="n"/>
      <c r="P11" s="417">
        <f>SUM(Q11:S11)</f>
        <v/>
      </c>
      <c r="Q11" s="472" t="n"/>
      <c r="R11" s="472" t="n"/>
      <c r="S11" s="472" t="n"/>
      <c r="T11" s="417">
        <f>P11+L11+H11+D11</f>
        <v/>
      </c>
      <c r="U11" s="417">
        <f>B11-V11</f>
        <v/>
      </c>
      <c r="V11" s="473">
        <f>B11*100%</f>
        <v/>
      </c>
      <c r="W11" s="473">
        <f>B11-V11-U11</f>
        <v/>
      </c>
      <c r="X11" s="473">
        <f>B11-C11-T11</f>
        <v/>
      </c>
      <c r="Y11" s="474" t="n"/>
    </row>
    <row r="12" ht="14.5" customHeight="1" s="408">
      <c r="A12" s="81" t="inlineStr">
        <is>
          <t>預提結算成本</t>
        </is>
      </c>
      <c r="B12" s="471">
        <f>T12</f>
        <v/>
      </c>
      <c r="C12" s="472" t="n"/>
      <c r="D12" s="417">
        <f>SUM(E12:G12)</f>
        <v/>
      </c>
      <c r="E12" s="472" t="n"/>
      <c r="F12" s="472" t="n"/>
      <c r="G12" s="472" t="n"/>
      <c r="H12" s="417">
        <f>SUM(I12:K12)</f>
        <v/>
      </c>
      <c r="I12" s="472" t="n"/>
      <c r="J12" s="472" t="n"/>
      <c r="K12" s="472" t="n"/>
      <c r="L12" s="417">
        <f>SUM(M12:O12)</f>
        <v/>
      </c>
      <c r="M12" s="472" t="n"/>
      <c r="N12" s="472" t="n"/>
      <c r="O12" s="472" t="n"/>
      <c r="P12" s="417">
        <f>SUM(Q12:S12)</f>
        <v/>
      </c>
      <c r="Q12" s="472" t="n"/>
      <c r="R12" s="472" t="n"/>
      <c r="S12" s="472" t="n"/>
      <c r="T12" s="417">
        <f>P12+L12+H12+D12</f>
        <v/>
      </c>
      <c r="U12" s="417">
        <f>B12-V12</f>
        <v/>
      </c>
      <c r="V12" s="473">
        <f>B12*100%</f>
        <v/>
      </c>
      <c r="W12" s="473">
        <f>B12-V12-U12</f>
        <v/>
      </c>
      <c r="X12" s="473">
        <f>B12-C12-T12</f>
        <v/>
      </c>
      <c r="Y12" s="474" t="n"/>
    </row>
    <row r="13" ht="14.5" customHeight="1" s="408">
      <c r="A13" s="475" t="inlineStr">
        <is>
          <t>小計</t>
        </is>
      </c>
      <c r="B13" s="476">
        <f>SUM(B6:B12)</f>
        <v/>
      </c>
      <c r="C13" s="477">
        <f>SUM(C6:C12)</f>
        <v/>
      </c>
      <c r="D13" s="477">
        <f>SUM(D6:D12)</f>
        <v/>
      </c>
      <c r="E13" s="477">
        <f>SUM(E6:E12)</f>
        <v/>
      </c>
      <c r="F13" s="477">
        <f>SUM(F6:F12)</f>
        <v/>
      </c>
      <c r="G13" s="477">
        <f>SUM(G6:G12)</f>
        <v/>
      </c>
      <c r="H13" s="477">
        <f>SUM(H6:H12)</f>
        <v/>
      </c>
      <c r="I13" s="477">
        <f>SUM(I6:I12)</f>
        <v/>
      </c>
      <c r="J13" s="477">
        <f>SUM(J6:J12)</f>
        <v/>
      </c>
      <c r="K13" s="477">
        <f>SUM(K6:K12)</f>
        <v/>
      </c>
      <c r="L13" s="477">
        <f>SUM(L6:L12)</f>
        <v/>
      </c>
      <c r="M13" s="477">
        <f>SUM(M6:M12)</f>
        <v/>
      </c>
      <c r="N13" s="477">
        <f>SUM(N6:N12)</f>
        <v/>
      </c>
      <c r="O13" s="477">
        <f>SUM(O6:O12)</f>
        <v/>
      </c>
      <c r="P13" s="477">
        <f>SUM(P6:P12)</f>
        <v/>
      </c>
      <c r="Q13" s="477">
        <f>SUM(Q6:Q12)</f>
        <v/>
      </c>
      <c r="R13" s="477">
        <f>SUM(R6:R12)</f>
        <v/>
      </c>
      <c r="S13" s="477">
        <f>SUM(S6:S12)</f>
        <v/>
      </c>
      <c r="T13" s="477">
        <f>SUM(T6:T12)</f>
        <v/>
      </c>
      <c r="U13" s="477">
        <f>SUM(U6:U12)</f>
        <v/>
      </c>
      <c r="V13" s="477">
        <f>SUM(V6:V12)</f>
        <v/>
      </c>
      <c r="W13" s="478">
        <f>SUM(W6:W12)</f>
        <v/>
      </c>
      <c r="X13" s="478">
        <f>SUM(X6:X12)</f>
        <v/>
      </c>
      <c r="Y13" s="479" t="n"/>
    </row>
    <row r="14" ht="29" customHeight="1" s="408">
      <c r="A14" s="466" t="inlineStr">
        <is>
          <t>二、專案2</t>
        </is>
      </c>
      <c r="B14" s="467" t="n"/>
      <c r="C14" s="468" t="n"/>
      <c r="D14" s="468" t="n"/>
      <c r="E14" s="468" t="n"/>
      <c r="F14" s="468" t="n"/>
      <c r="G14" s="468" t="n"/>
      <c r="H14" s="468" t="n"/>
      <c r="I14" s="468" t="n"/>
      <c r="J14" s="468" t="n"/>
      <c r="K14" s="468" t="n"/>
      <c r="L14" s="468" t="n"/>
      <c r="M14" s="468" t="n"/>
      <c r="N14" s="468" t="n"/>
      <c r="O14" s="468" t="n"/>
      <c r="P14" s="468" t="n"/>
      <c r="Q14" s="468" t="n"/>
      <c r="R14" s="468" t="n"/>
      <c r="S14" s="480" t="n"/>
      <c r="T14" s="480" t="n"/>
      <c r="U14" s="480" t="n"/>
      <c r="V14" s="481" t="n"/>
      <c r="W14" s="481" t="n"/>
      <c r="X14" s="481" t="n"/>
      <c r="Y14" s="482" t="n"/>
    </row>
    <row r="15" ht="14.5" customHeight="1" s="408">
      <c r="A15" s="73" t="inlineStr">
        <is>
          <t>土地費</t>
        </is>
      </c>
      <c r="B15" s="471">
        <f>T15</f>
        <v/>
      </c>
      <c r="C15" s="417" t="n"/>
      <c r="D15" s="417">
        <f>SUM(E15:G15)</f>
        <v/>
      </c>
      <c r="E15" s="472" t="n"/>
      <c r="F15" s="472" t="n"/>
      <c r="G15" s="472" t="n"/>
      <c r="H15" s="417">
        <f>SUM(I15:K15)</f>
        <v/>
      </c>
      <c r="I15" s="472" t="n"/>
      <c r="J15" s="472" t="n"/>
      <c r="K15" s="472" t="n"/>
      <c r="L15" s="417">
        <f>SUM(M15:O15)</f>
        <v/>
      </c>
      <c r="M15" s="472" t="n"/>
      <c r="N15" s="472" t="n"/>
      <c r="O15" s="472" t="n"/>
      <c r="P15" s="417">
        <f>SUM(Q15:S15)</f>
        <v/>
      </c>
      <c r="Q15" s="472" t="n"/>
      <c r="R15" s="472" t="n"/>
      <c r="S15" s="472" t="n"/>
      <c r="T15" s="417">
        <f>P15+L15+H15+D15</f>
        <v/>
      </c>
      <c r="U15" s="417">
        <f>B15-V15</f>
        <v/>
      </c>
      <c r="V15" s="473">
        <f>B15*100%</f>
        <v/>
      </c>
      <c r="W15" s="473">
        <f>C15+T15-V15-U15</f>
        <v/>
      </c>
      <c r="X15" s="473">
        <f>B15-C15-T15</f>
        <v/>
      </c>
      <c r="Y15" s="474" t="n"/>
    </row>
    <row r="16" ht="14.5" customHeight="1" s="408">
      <c r="A16" s="78" t="inlineStr">
        <is>
          <t>前期工程費</t>
        </is>
      </c>
      <c r="B16" s="471">
        <f>T16</f>
        <v/>
      </c>
      <c r="C16" s="417" t="n"/>
      <c r="D16" s="417">
        <f>SUM(E16:G16)</f>
        <v/>
      </c>
      <c r="E16" s="472" t="n"/>
      <c r="F16" s="472" t="n"/>
      <c r="G16" s="472" t="n"/>
      <c r="H16" s="417">
        <f>SUM(I16:K16)</f>
        <v/>
      </c>
      <c r="I16" s="472" t="n"/>
      <c r="J16" s="472" t="n"/>
      <c r="K16" s="472" t="n"/>
      <c r="L16" s="417">
        <f>SUM(M16:O16)</f>
        <v/>
      </c>
      <c r="M16" s="472" t="n"/>
      <c r="N16" s="472" t="n"/>
      <c r="O16" s="472" t="n"/>
      <c r="P16" s="417">
        <f>SUM(Q16:S16)</f>
        <v/>
      </c>
      <c r="Q16" s="472" t="n"/>
      <c r="R16" s="472" t="n"/>
      <c r="S16" s="472" t="n"/>
      <c r="T16" s="417">
        <f>P16+L16+H16+D16</f>
        <v/>
      </c>
      <c r="U16" s="417">
        <f>B16-V16</f>
        <v/>
      </c>
      <c r="V16" s="473">
        <f>B16*100%</f>
        <v/>
      </c>
      <c r="W16" s="473">
        <f>C16+T16-V16-U16</f>
        <v/>
      </c>
      <c r="X16" s="473">
        <f>B16-C16-T16</f>
        <v/>
      </c>
      <c r="Y16" s="474" t="n"/>
    </row>
    <row r="17" ht="14.5" customHeight="1" s="408">
      <c r="A17" s="79" t="inlineStr">
        <is>
          <t>建安及裝修工程費</t>
        </is>
      </c>
      <c r="B17" s="471">
        <f>T17</f>
        <v/>
      </c>
      <c r="C17" s="417" t="n"/>
      <c r="D17" s="417">
        <f>SUM(E17:G17)</f>
        <v/>
      </c>
      <c r="E17" s="472" t="n"/>
      <c r="F17" s="472" t="n"/>
      <c r="G17" s="472" t="n"/>
      <c r="H17" s="417">
        <f>SUM(I17:K17)</f>
        <v/>
      </c>
      <c r="I17" s="472" t="n"/>
      <c r="J17" s="472" t="n"/>
      <c r="K17" s="472" t="n"/>
      <c r="L17" s="417">
        <f>SUM(M17:O17)</f>
        <v/>
      </c>
      <c r="M17" s="472" t="n"/>
      <c r="N17" s="472" t="n"/>
      <c r="O17" s="472" t="n"/>
      <c r="P17" s="417">
        <f>SUM(Q17:S17)</f>
        <v/>
      </c>
      <c r="Q17" s="472" t="n"/>
      <c r="R17" s="472" t="n"/>
      <c r="S17" s="472" t="n"/>
      <c r="T17" s="417">
        <f>P17+L17+H17+D17</f>
        <v/>
      </c>
      <c r="U17" s="417">
        <f>B17-V17</f>
        <v/>
      </c>
      <c r="V17" s="473">
        <f>B17*100%</f>
        <v/>
      </c>
      <c r="W17" s="473">
        <f>C17+T17-V17-U17</f>
        <v/>
      </c>
      <c r="X17" s="473">
        <f>B17-C17-T17</f>
        <v/>
      </c>
      <c r="Y17" s="474" t="n"/>
    </row>
    <row r="18" ht="14.5" customHeight="1" s="408">
      <c r="A18" s="80" t="inlineStr">
        <is>
          <t>基礎設施費</t>
        </is>
      </c>
      <c r="B18" s="471">
        <f>T18</f>
        <v/>
      </c>
      <c r="C18" s="417" t="n"/>
      <c r="D18" s="417">
        <f>SUM(E18:G18)</f>
        <v/>
      </c>
      <c r="E18" s="472" t="n"/>
      <c r="F18" s="472" t="n"/>
      <c r="G18" s="472" t="n"/>
      <c r="H18" s="417">
        <f>SUM(I18:K18)</f>
        <v/>
      </c>
      <c r="I18" s="472" t="n"/>
      <c r="J18" s="472" t="n"/>
      <c r="K18" s="472" t="n"/>
      <c r="L18" s="417">
        <f>SUM(M18:O18)</f>
        <v/>
      </c>
      <c r="M18" s="472" t="n"/>
      <c r="N18" s="472" t="n"/>
      <c r="O18" s="472" t="n"/>
      <c r="P18" s="417">
        <f>SUM(Q18:S18)</f>
        <v/>
      </c>
      <c r="Q18" s="472" t="n"/>
      <c r="R18" s="472" t="n"/>
      <c r="S18" s="472" t="n"/>
      <c r="T18" s="417">
        <f>P18+L18+H18+D18</f>
        <v/>
      </c>
      <c r="U18" s="417">
        <f>B18-V18</f>
        <v/>
      </c>
      <c r="V18" s="473">
        <f>B18*100%</f>
        <v/>
      </c>
      <c r="W18" s="473">
        <f>C18+T18-V18-U18</f>
        <v/>
      </c>
      <c r="X18" s="473">
        <f>B18-C18-T18</f>
        <v/>
      </c>
      <c r="Y18" s="474" t="n"/>
    </row>
    <row r="19" ht="14.5" customHeight="1" s="408">
      <c r="A19" s="79" t="inlineStr">
        <is>
          <t>配套設施費</t>
        </is>
      </c>
      <c r="B19" s="471">
        <f>T19</f>
        <v/>
      </c>
      <c r="C19" s="417" t="n"/>
      <c r="D19" s="417">
        <f>SUM(E19:G19)</f>
        <v/>
      </c>
      <c r="E19" s="472" t="n"/>
      <c r="F19" s="472" t="n"/>
      <c r="G19" s="472" t="n"/>
      <c r="H19" s="417">
        <f>SUM(I19:K19)</f>
        <v/>
      </c>
      <c r="I19" s="472" t="n"/>
      <c r="J19" s="472" t="n"/>
      <c r="K19" s="472" t="n"/>
      <c r="L19" s="417">
        <f>SUM(M19:O19)</f>
        <v/>
      </c>
      <c r="M19" s="472" t="n"/>
      <c r="N19" s="472" t="n"/>
      <c r="O19" s="472" t="n"/>
      <c r="P19" s="417">
        <f>SUM(Q19:S19)</f>
        <v/>
      </c>
      <c r="Q19" s="472" t="n"/>
      <c r="R19" s="472" t="n"/>
      <c r="S19" s="472" t="n"/>
      <c r="T19" s="417">
        <f>P19+L19+H19+D19</f>
        <v/>
      </c>
      <c r="U19" s="417">
        <f>B19-V19</f>
        <v/>
      </c>
      <c r="V19" s="473">
        <f>B19*100%</f>
        <v/>
      </c>
      <c r="W19" s="473">
        <f>C19+T19-V19-U19</f>
        <v/>
      </c>
      <c r="X19" s="473">
        <f>B19-C19-T19</f>
        <v/>
      </c>
      <c r="Y19" s="474" t="n"/>
    </row>
    <row r="20" ht="14.5" customHeight="1" s="408">
      <c r="A20" s="79" t="inlineStr">
        <is>
          <t>開發間接費</t>
        </is>
      </c>
      <c r="B20" s="471">
        <f>T20</f>
        <v/>
      </c>
      <c r="C20" s="417" t="n"/>
      <c r="D20" s="417">
        <f>SUM(E20:G20)</f>
        <v/>
      </c>
      <c r="E20" s="472" t="n"/>
      <c r="F20" s="472" t="n"/>
      <c r="G20" s="472" t="n"/>
      <c r="H20" s="417">
        <f>SUM(I20:K20)</f>
        <v/>
      </c>
      <c r="I20" s="472" t="n"/>
      <c r="J20" s="472" t="n"/>
      <c r="K20" s="472" t="n"/>
      <c r="L20" s="417">
        <f>SUM(M20:O20)</f>
        <v/>
      </c>
      <c r="M20" s="472" t="n"/>
      <c r="N20" s="472" t="n"/>
      <c r="O20" s="472" t="n"/>
      <c r="P20" s="417">
        <f>SUM(Q20:S20)</f>
        <v/>
      </c>
      <c r="Q20" s="472" t="n"/>
      <c r="R20" s="472" t="n"/>
      <c r="S20" s="472" t="n"/>
      <c r="T20" s="417">
        <f>P20+L20+H20+D20</f>
        <v/>
      </c>
      <c r="U20" s="417">
        <f>B20-V20</f>
        <v/>
      </c>
      <c r="V20" s="473">
        <f>B20*100%</f>
        <v/>
      </c>
      <c r="W20" s="473">
        <f>C20+T20-V20-U20</f>
        <v/>
      </c>
      <c r="X20" s="473">
        <f>B20-C20-T20</f>
        <v/>
      </c>
      <c r="Y20" s="474" t="n"/>
    </row>
    <row r="21" ht="14.5" customHeight="1" s="408">
      <c r="A21" s="81" t="inlineStr">
        <is>
          <t>預提結算成本</t>
        </is>
      </c>
      <c r="B21" s="471">
        <f>T21</f>
        <v/>
      </c>
      <c r="C21" s="417" t="n"/>
      <c r="D21" s="417">
        <f>SUM(E21:G21)</f>
        <v/>
      </c>
      <c r="E21" s="472" t="n"/>
      <c r="F21" s="472" t="n"/>
      <c r="G21" s="472" t="n"/>
      <c r="H21" s="417">
        <f>SUM(I21:K21)</f>
        <v/>
      </c>
      <c r="I21" s="472" t="n"/>
      <c r="J21" s="472" t="n"/>
      <c r="K21" s="472" t="n"/>
      <c r="L21" s="417">
        <f>SUM(M21:O21)</f>
        <v/>
      </c>
      <c r="M21" s="472" t="n"/>
      <c r="N21" s="472" t="n"/>
      <c r="O21" s="472" t="n"/>
      <c r="P21" s="417">
        <f>SUM(Q21:S21)</f>
        <v/>
      </c>
      <c r="Q21" s="472" t="n"/>
      <c r="R21" s="472" t="n"/>
      <c r="S21" s="472" t="n"/>
      <c r="T21" s="417">
        <f>P21+L21+H21+D21</f>
        <v/>
      </c>
      <c r="U21" s="417">
        <f>B21-V21</f>
        <v/>
      </c>
      <c r="V21" s="473">
        <f>B21*100%</f>
        <v/>
      </c>
      <c r="W21" s="473">
        <f>C21+T21-V21-U21</f>
        <v/>
      </c>
      <c r="X21" s="473">
        <f>B21-C21-T21</f>
        <v/>
      </c>
      <c r="Y21" s="474" t="n"/>
    </row>
    <row r="22" ht="14.5" customHeight="1" s="408">
      <c r="A22" s="475" t="inlineStr">
        <is>
          <t>小計</t>
        </is>
      </c>
      <c r="B22" s="476">
        <f>SUM(B15:B21)</f>
        <v/>
      </c>
      <c r="C22" s="477">
        <f>SUM(C15:C21)</f>
        <v/>
      </c>
      <c r="D22" s="477">
        <f>SUM(D15:D21)</f>
        <v/>
      </c>
      <c r="E22" s="477">
        <f>SUM(E15:E21)</f>
        <v/>
      </c>
      <c r="F22" s="477">
        <f>SUM(F15:F21)</f>
        <v/>
      </c>
      <c r="G22" s="477">
        <f>SUM(G15:G21)</f>
        <v/>
      </c>
      <c r="H22" s="477">
        <f>SUM(H15:H21)</f>
        <v/>
      </c>
      <c r="I22" s="477">
        <f>SUM(I15:I21)</f>
        <v/>
      </c>
      <c r="J22" s="477">
        <f>SUM(J15:J21)</f>
        <v/>
      </c>
      <c r="K22" s="477">
        <f>SUM(K15:K21)</f>
        <v/>
      </c>
      <c r="L22" s="477">
        <f>SUM(L15:L21)</f>
        <v/>
      </c>
      <c r="M22" s="477">
        <f>SUM(M15:M21)</f>
        <v/>
      </c>
      <c r="N22" s="477">
        <f>SUM(N15:N21)</f>
        <v/>
      </c>
      <c r="O22" s="477">
        <f>SUM(O15:O21)</f>
        <v/>
      </c>
      <c r="P22" s="477">
        <f>SUM(P15:P21)</f>
        <v/>
      </c>
      <c r="Q22" s="477">
        <f>SUM(Q15:Q21)</f>
        <v/>
      </c>
      <c r="R22" s="477">
        <f>SUM(R15:R21)</f>
        <v/>
      </c>
      <c r="S22" s="477">
        <f>SUM(S15:S21)</f>
        <v/>
      </c>
      <c r="T22" s="483">
        <f>SUM(T15:T21)</f>
        <v/>
      </c>
      <c r="U22" s="483">
        <f>SUM(U15:U21)</f>
        <v/>
      </c>
      <c r="V22" s="478">
        <f>SUM(V15:V21)</f>
        <v/>
      </c>
      <c r="W22" s="478">
        <f>SUM(W15:W21)</f>
        <v/>
      </c>
      <c r="X22" s="478">
        <f>SUM(X15:X21)</f>
        <v/>
      </c>
      <c r="Y22" s="479" t="n"/>
    </row>
    <row r="23" ht="29" customHeight="1" s="408">
      <c r="A23" s="466" t="inlineStr">
        <is>
          <t>三、專案3</t>
        </is>
      </c>
      <c r="B23" s="467" t="n"/>
      <c r="C23" s="468" t="n"/>
      <c r="D23" s="468" t="n"/>
      <c r="E23" s="468" t="n"/>
      <c r="F23" s="468" t="n"/>
      <c r="G23" s="468" t="n"/>
      <c r="H23" s="468" t="n"/>
      <c r="I23" s="468" t="n"/>
      <c r="J23" s="468" t="n"/>
      <c r="K23" s="468" t="n"/>
      <c r="L23" s="468" t="n"/>
      <c r="M23" s="468" t="n"/>
      <c r="N23" s="468" t="n"/>
      <c r="O23" s="468" t="n"/>
      <c r="P23" s="468" t="n"/>
      <c r="Q23" s="468" t="n"/>
      <c r="R23" s="468" t="n"/>
      <c r="S23" s="480" t="n"/>
      <c r="T23" s="480" t="n"/>
      <c r="U23" s="480" t="n"/>
      <c r="V23" s="481" t="n"/>
      <c r="W23" s="481" t="n"/>
      <c r="X23" s="481" t="n"/>
      <c r="Y23" s="482" t="n"/>
    </row>
    <row r="24" ht="14.5" customHeight="1" s="408">
      <c r="A24" s="73" t="inlineStr">
        <is>
          <t>土地費</t>
        </is>
      </c>
      <c r="B24" s="471">
        <f>T24</f>
        <v/>
      </c>
      <c r="C24" s="417" t="n"/>
      <c r="D24" s="417">
        <f>SUM(E24:G24)</f>
        <v/>
      </c>
      <c r="E24" s="472" t="n"/>
      <c r="F24" s="472" t="n"/>
      <c r="G24" s="472" t="n"/>
      <c r="H24" s="417">
        <f>SUM(I24:K24)</f>
        <v/>
      </c>
      <c r="I24" s="472" t="n"/>
      <c r="J24" s="472" t="n"/>
      <c r="K24" s="472" t="n"/>
      <c r="L24" s="417">
        <f>SUM(M24:O24)</f>
        <v/>
      </c>
      <c r="M24" s="472" t="n"/>
      <c r="N24" s="472" t="n"/>
      <c r="O24" s="472" t="n"/>
      <c r="P24" s="417">
        <f>SUM(Q24:S24)</f>
        <v/>
      </c>
      <c r="Q24" s="472" t="n"/>
      <c r="R24" s="472" t="n"/>
      <c r="S24" s="472" t="n"/>
      <c r="T24" s="417">
        <f>P24+L24+H24+D24</f>
        <v/>
      </c>
      <c r="U24" s="417">
        <f>B24-V24</f>
        <v/>
      </c>
      <c r="V24" s="473">
        <f>B24*100%</f>
        <v/>
      </c>
      <c r="W24" s="473">
        <f>C24+T24-V24-U24</f>
        <v/>
      </c>
      <c r="X24" s="473">
        <f>B24-C24-T24</f>
        <v/>
      </c>
      <c r="Y24" s="474" t="n"/>
    </row>
    <row r="25" ht="14.5" customHeight="1" s="408">
      <c r="A25" s="78" t="inlineStr">
        <is>
          <t>前期工程費</t>
        </is>
      </c>
      <c r="B25" s="471">
        <f>T25</f>
        <v/>
      </c>
      <c r="C25" s="417" t="n"/>
      <c r="D25" s="417">
        <f>SUM(E25:G25)</f>
        <v/>
      </c>
      <c r="E25" s="472" t="n"/>
      <c r="F25" s="472" t="n"/>
      <c r="G25" s="472" t="n"/>
      <c r="H25" s="417">
        <f>SUM(I25:K25)</f>
        <v/>
      </c>
      <c r="I25" s="472" t="n"/>
      <c r="J25" s="472" t="n"/>
      <c r="K25" s="472" t="n"/>
      <c r="L25" s="417">
        <f>SUM(M25:O25)</f>
        <v/>
      </c>
      <c r="M25" s="472" t="n"/>
      <c r="N25" s="472" t="n"/>
      <c r="O25" s="472" t="n"/>
      <c r="P25" s="417">
        <f>SUM(Q25:S25)</f>
        <v/>
      </c>
      <c r="Q25" s="472" t="n"/>
      <c r="R25" s="472" t="n"/>
      <c r="S25" s="472" t="n"/>
      <c r="T25" s="417">
        <f>P25+L25+H25+D25</f>
        <v/>
      </c>
      <c r="U25" s="417">
        <f>B25-V25</f>
        <v/>
      </c>
      <c r="V25" s="473">
        <f>B25*100%</f>
        <v/>
      </c>
      <c r="W25" s="473">
        <f>C25+T25-V25-U25</f>
        <v/>
      </c>
      <c r="X25" s="473">
        <f>B25-C25-T25</f>
        <v/>
      </c>
      <c r="Y25" s="474" t="n"/>
    </row>
    <row r="26" ht="14.5" customHeight="1" s="408">
      <c r="A26" s="79" t="inlineStr">
        <is>
          <t>建安及裝修工程費</t>
        </is>
      </c>
      <c r="B26" s="471">
        <f>T26</f>
        <v/>
      </c>
      <c r="C26" s="417" t="n"/>
      <c r="D26" s="417">
        <f>SUM(E26:G26)</f>
        <v/>
      </c>
      <c r="E26" s="472" t="n"/>
      <c r="F26" s="472" t="n"/>
      <c r="G26" s="472" t="n"/>
      <c r="H26" s="417">
        <f>SUM(I26:K26)</f>
        <v/>
      </c>
      <c r="I26" s="472" t="n"/>
      <c r="J26" s="472" t="n"/>
      <c r="K26" s="472" t="n"/>
      <c r="L26" s="417">
        <f>SUM(M26:O26)</f>
        <v/>
      </c>
      <c r="M26" s="472" t="n"/>
      <c r="N26" s="472" t="n"/>
      <c r="O26" s="472" t="n"/>
      <c r="P26" s="417">
        <f>SUM(Q26:S26)</f>
        <v/>
      </c>
      <c r="Q26" s="472" t="n"/>
      <c r="R26" s="472" t="n"/>
      <c r="S26" s="472" t="n"/>
      <c r="T26" s="417">
        <f>P26+L26+H26+D26</f>
        <v/>
      </c>
      <c r="U26" s="417">
        <f>B26-V26</f>
        <v/>
      </c>
      <c r="V26" s="473">
        <f>B26*100%</f>
        <v/>
      </c>
      <c r="W26" s="473">
        <f>C26+T26-V26-U26</f>
        <v/>
      </c>
      <c r="X26" s="473">
        <f>B26-C26-T26</f>
        <v/>
      </c>
      <c r="Y26" s="474" t="n"/>
    </row>
    <row r="27" ht="14.5" customHeight="1" s="408">
      <c r="A27" s="80" t="inlineStr">
        <is>
          <t>基礎設施費</t>
        </is>
      </c>
      <c r="B27" s="471">
        <f>T27</f>
        <v/>
      </c>
      <c r="C27" s="417" t="n"/>
      <c r="D27" s="417">
        <f>SUM(E27:G27)</f>
        <v/>
      </c>
      <c r="E27" s="472" t="n"/>
      <c r="F27" s="472" t="n"/>
      <c r="G27" s="472" t="n"/>
      <c r="H27" s="417">
        <f>SUM(I27:K27)</f>
        <v/>
      </c>
      <c r="I27" s="472" t="n"/>
      <c r="J27" s="472" t="n"/>
      <c r="K27" s="472" t="n"/>
      <c r="L27" s="417">
        <f>SUM(M27:O27)</f>
        <v/>
      </c>
      <c r="M27" s="472" t="n"/>
      <c r="N27" s="472" t="n"/>
      <c r="O27" s="472" t="n"/>
      <c r="P27" s="417">
        <f>SUM(Q27:S27)</f>
        <v/>
      </c>
      <c r="Q27" s="472" t="n"/>
      <c r="R27" s="472" t="n"/>
      <c r="S27" s="472" t="n"/>
      <c r="T27" s="417">
        <f>P27+L27+H27+D27</f>
        <v/>
      </c>
      <c r="U27" s="417">
        <f>B27-V27</f>
        <v/>
      </c>
      <c r="V27" s="473">
        <f>B27*100%</f>
        <v/>
      </c>
      <c r="W27" s="473">
        <f>C27+T27-V27-U27</f>
        <v/>
      </c>
      <c r="X27" s="473">
        <f>B27-C27-T27</f>
        <v/>
      </c>
      <c r="Y27" s="474" t="n"/>
    </row>
    <row r="28" ht="14.5" customHeight="1" s="408">
      <c r="A28" s="79" t="inlineStr">
        <is>
          <t>配套設施費</t>
        </is>
      </c>
      <c r="B28" s="471">
        <f>T28</f>
        <v/>
      </c>
      <c r="C28" s="417" t="n"/>
      <c r="D28" s="417">
        <f>SUM(E28:G28)</f>
        <v/>
      </c>
      <c r="E28" s="472" t="n"/>
      <c r="F28" s="472" t="n"/>
      <c r="G28" s="472" t="n"/>
      <c r="H28" s="417">
        <f>SUM(I28:K28)</f>
        <v/>
      </c>
      <c r="I28" s="472" t="n"/>
      <c r="J28" s="472" t="n"/>
      <c r="K28" s="472" t="n"/>
      <c r="L28" s="417">
        <f>SUM(M28:O28)</f>
        <v/>
      </c>
      <c r="M28" s="472" t="n"/>
      <c r="N28" s="472" t="n"/>
      <c r="O28" s="472" t="n"/>
      <c r="P28" s="417">
        <f>SUM(Q28:S28)</f>
        <v/>
      </c>
      <c r="Q28" s="472" t="n"/>
      <c r="R28" s="472" t="n"/>
      <c r="S28" s="472" t="n"/>
      <c r="T28" s="417">
        <f>P28+L28+H28+D28</f>
        <v/>
      </c>
      <c r="U28" s="417">
        <f>B28-V28</f>
        <v/>
      </c>
      <c r="V28" s="473">
        <f>B28*100%</f>
        <v/>
      </c>
      <c r="W28" s="473">
        <f>C28+T28-V28-U28</f>
        <v/>
      </c>
      <c r="X28" s="473">
        <f>B28-C28-T28</f>
        <v/>
      </c>
      <c r="Y28" s="474" t="n"/>
    </row>
    <row r="29" ht="14.5" customHeight="1" s="408">
      <c r="A29" s="79" t="inlineStr">
        <is>
          <t>開發間接費</t>
        </is>
      </c>
      <c r="B29" s="471">
        <f>T29</f>
        <v/>
      </c>
      <c r="C29" s="417" t="n"/>
      <c r="D29" s="417">
        <f>SUM(E29:G29)</f>
        <v/>
      </c>
      <c r="E29" s="472" t="n"/>
      <c r="F29" s="472" t="n"/>
      <c r="G29" s="472" t="n"/>
      <c r="H29" s="417">
        <f>SUM(I29:K29)</f>
        <v/>
      </c>
      <c r="I29" s="472" t="n"/>
      <c r="J29" s="472" t="n"/>
      <c r="K29" s="472" t="n"/>
      <c r="L29" s="417">
        <f>SUM(M29:O29)</f>
        <v/>
      </c>
      <c r="M29" s="472" t="n"/>
      <c r="N29" s="472" t="n"/>
      <c r="O29" s="472" t="n"/>
      <c r="P29" s="417">
        <f>SUM(Q29:S29)</f>
        <v/>
      </c>
      <c r="Q29" s="472" t="n"/>
      <c r="R29" s="472" t="n"/>
      <c r="S29" s="472" t="n"/>
      <c r="T29" s="417">
        <f>P29+L29+H29+D29</f>
        <v/>
      </c>
      <c r="U29" s="417">
        <f>B29-V29</f>
        <v/>
      </c>
      <c r="V29" s="473">
        <f>B29*100%</f>
        <v/>
      </c>
      <c r="W29" s="473">
        <f>C29+T29-V29-U29</f>
        <v/>
      </c>
      <c r="X29" s="473">
        <f>B29-C29-T29</f>
        <v/>
      </c>
      <c r="Y29" s="474" t="n"/>
    </row>
    <row r="30" ht="14.5" customHeight="1" s="408">
      <c r="A30" s="81" t="inlineStr">
        <is>
          <t>預提結算成本</t>
        </is>
      </c>
      <c r="B30" s="471">
        <f>T30</f>
        <v/>
      </c>
      <c r="C30" s="417" t="n"/>
      <c r="D30" s="417">
        <f>SUM(E30:G30)</f>
        <v/>
      </c>
      <c r="E30" s="472" t="n"/>
      <c r="F30" s="472" t="n"/>
      <c r="G30" s="472" t="n"/>
      <c r="H30" s="417">
        <f>SUM(I30:K30)</f>
        <v/>
      </c>
      <c r="I30" s="472" t="n"/>
      <c r="J30" s="472" t="n"/>
      <c r="K30" s="472" t="n"/>
      <c r="L30" s="417">
        <f>SUM(M30:O30)</f>
        <v/>
      </c>
      <c r="M30" s="472" t="n"/>
      <c r="N30" s="472" t="n"/>
      <c r="O30" s="472" t="n"/>
      <c r="P30" s="417">
        <f>SUM(Q30:S30)</f>
        <v/>
      </c>
      <c r="Q30" s="472" t="n"/>
      <c r="R30" s="472" t="n"/>
      <c r="S30" s="472" t="n"/>
      <c r="T30" s="417">
        <f>P30+L30+H30+D30</f>
        <v/>
      </c>
      <c r="U30" s="417">
        <f>B30-V30</f>
        <v/>
      </c>
      <c r="V30" s="473">
        <f>B30*100%</f>
        <v/>
      </c>
      <c r="W30" s="473">
        <f>C30+T30-V30-U30</f>
        <v/>
      </c>
      <c r="X30" s="473">
        <f>B30-C30-T30</f>
        <v/>
      </c>
      <c r="Y30" s="474" t="n"/>
    </row>
    <row r="31" ht="14.5" customHeight="1" s="408">
      <c r="A31" s="475" t="inlineStr">
        <is>
          <t>小計</t>
        </is>
      </c>
      <c r="B31" s="484">
        <f>SUM(B24:B30)</f>
        <v/>
      </c>
      <c r="C31" s="485">
        <f>SUM(C24:C30)</f>
        <v/>
      </c>
      <c r="D31" s="485">
        <f>SUM(D24:D30)</f>
        <v/>
      </c>
      <c r="E31" s="485">
        <f>SUM(E24:E30)</f>
        <v/>
      </c>
      <c r="F31" s="485">
        <f>SUM(F24:F30)</f>
        <v/>
      </c>
      <c r="G31" s="485">
        <f>SUM(G24:G30)</f>
        <v/>
      </c>
      <c r="H31" s="485">
        <f>SUM(H24:H30)</f>
        <v/>
      </c>
      <c r="I31" s="485">
        <f>SUM(I24:I30)</f>
        <v/>
      </c>
      <c r="J31" s="485">
        <f>SUM(J24:J30)</f>
        <v/>
      </c>
      <c r="K31" s="485">
        <f>SUM(K24:K30)</f>
        <v/>
      </c>
      <c r="L31" s="485">
        <f>SUM(L24:L30)</f>
        <v/>
      </c>
      <c r="M31" s="485">
        <f>SUM(M24:M30)</f>
        <v/>
      </c>
      <c r="N31" s="485">
        <f>SUM(N24:N30)</f>
        <v/>
      </c>
      <c r="O31" s="485">
        <f>SUM(O24:O30)</f>
        <v/>
      </c>
      <c r="P31" s="485">
        <f>SUM(P24:P30)</f>
        <v/>
      </c>
      <c r="Q31" s="485">
        <f>SUM(Q24:Q30)</f>
        <v/>
      </c>
      <c r="R31" s="485">
        <f>SUM(R24:R30)</f>
        <v/>
      </c>
      <c r="S31" s="485">
        <f>SUM(S24:S30)</f>
        <v/>
      </c>
      <c r="T31" s="486">
        <f>SUM(T24:T30)</f>
        <v/>
      </c>
      <c r="U31" s="486">
        <f>SUM(U24:U30)</f>
        <v/>
      </c>
      <c r="V31" s="487">
        <f>SUM(V24:V30)</f>
        <v/>
      </c>
      <c r="W31" s="487">
        <f>SUM(W24:W30)</f>
        <v/>
      </c>
      <c r="X31" s="487">
        <f>SUM(X24:X30)</f>
        <v/>
      </c>
      <c r="Y31" s="488" t="n"/>
    </row>
    <row r="32" ht="15" customHeight="1" s="408" thickBot="1">
      <c r="A32" s="489" t="inlineStr">
        <is>
          <t>合   計</t>
        </is>
      </c>
      <c r="B32" s="490">
        <f>B13+B22</f>
        <v/>
      </c>
      <c r="C32" s="491">
        <f>C13+C22</f>
        <v/>
      </c>
      <c r="D32" s="491">
        <f>SUM(D13,D22,D31)</f>
        <v/>
      </c>
      <c r="E32" s="491">
        <f>SUM(E13,E22,E31)</f>
        <v/>
      </c>
      <c r="F32" s="491">
        <f>SUM(F13,F22,F31)</f>
        <v/>
      </c>
      <c r="G32" s="491">
        <f>SUM(G13,G22,G31)</f>
        <v/>
      </c>
      <c r="H32" s="491">
        <f>SUM(H13,H22,H31)</f>
        <v/>
      </c>
      <c r="I32" s="491">
        <f>SUM(I13,I22,I31)</f>
        <v/>
      </c>
      <c r="J32" s="491">
        <f>SUM(J13,J22,J31)</f>
        <v/>
      </c>
      <c r="K32" s="491">
        <f>SUM(K13,K22,K31)</f>
        <v/>
      </c>
      <c r="L32" s="491">
        <f>SUM(L13,L22,L31)</f>
        <v/>
      </c>
      <c r="M32" s="491">
        <f>SUM(M13,M22,M31)</f>
        <v/>
      </c>
      <c r="N32" s="491">
        <f>SUM(N13,N22,N31)</f>
        <v/>
      </c>
      <c r="O32" s="491">
        <f>SUM(O13,O22,O31)</f>
        <v/>
      </c>
      <c r="P32" s="491">
        <f>SUM(P13,P22,P31)</f>
        <v/>
      </c>
      <c r="Q32" s="491">
        <f>SUM(Q13,Q22,Q31)</f>
        <v/>
      </c>
      <c r="R32" s="491">
        <f>SUM(R13,R22,R31)</f>
        <v/>
      </c>
      <c r="S32" s="491">
        <f>SUM(S13,S22,S31)</f>
        <v/>
      </c>
      <c r="T32" s="491">
        <f>SUM(T13,T22,T31)</f>
        <v/>
      </c>
      <c r="U32" s="491">
        <f>SUM(U13,U22,U31)</f>
        <v/>
      </c>
      <c r="V32" s="491">
        <f>SUM(V13,V22,V31)</f>
        <v/>
      </c>
      <c r="W32" s="491">
        <f>SUM(W13,W22,W31)</f>
        <v/>
      </c>
      <c r="X32" s="491">
        <f>SUM(X13,X22,X31)</f>
        <v/>
      </c>
      <c r="Y32" s="492" t="n"/>
    </row>
  </sheetData>
  <mergeCells count="9">
    <mergeCell ref="D3:T3"/>
    <mergeCell ref="U3:V3"/>
    <mergeCell ref="C3:C4"/>
    <mergeCell ref="A3:A4"/>
    <mergeCell ref="B3:B4"/>
    <mergeCell ref="A1:Y1"/>
    <mergeCell ref="X3:X4"/>
    <mergeCell ref="W3:W4"/>
    <mergeCell ref="Y3:Y4"/>
  </mergeCells>
  <hyperlinks>
    <hyperlink ref="A6" location="'一-4-1开发成本'!A1" display="'一-4-1开发成本'!A1"/>
    <hyperlink ref="A11" location="'一-4-2开发间接费用'!A1" display="'一-4-2开发间接费用'!A1"/>
  </hyperlinks>
  <pageMargins left="0.7" right="0.7" top="0.75" bottom="0.75" header="0.3" footer="0.3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Y98"/>
  <sheetViews>
    <sheetView workbookViewId="0">
      <selection activeCell="F12" sqref="F12"/>
    </sheetView>
  </sheetViews>
  <sheetFormatPr baseColWidth="8" defaultRowHeight="14"/>
  <cols>
    <col width="28.6328125" customWidth="1" style="408" min="1" max="1"/>
  </cols>
  <sheetData>
    <row r="1" ht="24" customHeight="1" s="408">
      <c r="A1" s="46" t="inlineStr">
        <is>
          <t xml:space="preserve">管理費用現金預算表      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inlineStr">
        <is>
          <t>預算年度：</t>
        </is>
      </c>
      <c r="M2" s="266" t="n"/>
      <c r="N2" s="266" t="n"/>
      <c r="O2" s="266" t="n"/>
      <c r="P2" s="266" t="n"/>
      <c r="Q2" s="266" t="n"/>
      <c r="R2" s="266" t="n"/>
      <c r="S2" s="266" t="n"/>
      <c r="T2" s="266" t="n"/>
      <c r="U2" s="266" t="inlineStr">
        <is>
          <t>製表人：</t>
        </is>
      </c>
      <c r="V2" s="266" t="n"/>
      <c r="W2" s="266" t="n"/>
      <c r="X2" s="266" t="n"/>
      <c r="Y2" s="266" t="n"/>
    </row>
    <row r="3" ht="29.5" customHeight="1" s="408" thickBot="1">
      <c r="A3" s="493" t="inlineStr">
        <is>
          <t>項    目</t>
        </is>
      </c>
      <c r="B3" s="494" t="inlineStr">
        <is>
          <t>計畫時間</t>
        </is>
      </c>
      <c r="C3" s="495" t="inlineStr">
        <is>
          <t>上年</t>
        </is>
      </c>
      <c r="D3" s="496" t="inlineStr">
        <is>
          <t>1季度</t>
        </is>
      </c>
      <c r="E3" s="497" t="n">
        <v>41275</v>
      </c>
      <c r="F3" s="497" t="n">
        <v>41306</v>
      </c>
      <c r="G3" s="498" t="n">
        <v>41334</v>
      </c>
      <c r="H3" s="499" t="inlineStr">
        <is>
          <t>2季度</t>
        </is>
      </c>
      <c r="I3" s="497" t="n">
        <v>41365</v>
      </c>
      <c r="J3" s="497" t="n">
        <v>41395</v>
      </c>
      <c r="K3" s="500" t="n">
        <v>41426</v>
      </c>
      <c r="L3" s="496" t="inlineStr">
        <is>
          <t>3季度</t>
        </is>
      </c>
      <c r="M3" s="497" t="n">
        <v>41456</v>
      </c>
      <c r="N3" s="497" t="n">
        <v>41487</v>
      </c>
      <c r="O3" s="498" t="n">
        <v>41518</v>
      </c>
      <c r="P3" s="499" t="inlineStr">
        <is>
          <t>4季度</t>
        </is>
      </c>
      <c r="Q3" s="497" t="n">
        <v>41548</v>
      </c>
      <c r="R3" s="497" t="n">
        <v>41579</v>
      </c>
      <c r="S3" s="500" t="n">
        <v>41609</v>
      </c>
      <c r="T3" s="109" t="inlineStr">
        <is>
          <t>全年</t>
        </is>
      </c>
      <c r="U3" s="110" t="inlineStr">
        <is>
          <t>本年未付</t>
        </is>
      </c>
      <c r="V3" s="110" t="inlineStr">
        <is>
          <t>上年實際</t>
        </is>
      </c>
      <c r="W3" s="110" t="inlineStr">
        <is>
          <t>增減數</t>
        </is>
      </c>
      <c r="X3" s="501" t="inlineStr">
        <is>
          <t>增減（％）</t>
        </is>
      </c>
      <c r="Y3" s="502" t="inlineStr">
        <is>
          <t>預算責任人</t>
        </is>
      </c>
    </row>
    <row r="4" ht="15" customHeight="1" s="408" thickTop="1">
      <c r="A4" s="112" t="inlineStr">
        <is>
          <t>現金支付專案</t>
        </is>
      </c>
      <c r="B4" s="503" t="n"/>
      <c r="C4" s="504" t="n"/>
      <c r="D4" s="505">
        <f>SUM(E4:G4)</f>
        <v/>
      </c>
      <c r="E4" s="506" t="n"/>
      <c r="F4" s="506" t="n"/>
      <c r="G4" s="507" t="n"/>
      <c r="H4" s="508">
        <f>SUM(I4:K4)</f>
        <v/>
      </c>
      <c r="I4" s="506" t="n"/>
      <c r="J4" s="506" t="n"/>
      <c r="K4" s="504" t="n"/>
      <c r="L4" s="505">
        <f>SUM(M4:O4)</f>
        <v/>
      </c>
      <c r="M4" s="506" t="n"/>
      <c r="N4" s="506" t="n"/>
      <c r="O4" s="507" t="n"/>
      <c r="P4" s="508">
        <f>SUM(Q4:S4)</f>
        <v/>
      </c>
      <c r="Q4" s="506" t="n"/>
      <c r="R4" s="506" t="n"/>
      <c r="S4" s="504" t="n"/>
      <c r="T4" s="505">
        <f>D4+H4+L4+P4</f>
        <v/>
      </c>
      <c r="U4" s="119" t="n"/>
      <c r="V4" s="119" t="n"/>
      <c r="W4" s="119">
        <f>T4-V4</f>
        <v/>
      </c>
      <c r="X4" s="509">
        <f>W4/T4</f>
        <v/>
      </c>
      <c r="Y4" s="510" t="n"/>
    </row>
    <row r="5" ht="14.5" customHeight="1" s="408">
      <c r="A5" s="122" t="inlineStr">
        <is>
          <t>薪酬費用</t>
        </is>
      </c>
      <c r="B5" s="511" t="n"/>
      <c r="C5" s="512" t="n"/>
      <c r="D5" s="505">
        <f>SUM(E5:G5)</f>
        <v/>
      </c>
      <c r="E5" s="513" t="n"/>
      <c r="F5" s="513" t="n"/>
      <c r="G5" s="514" t="n"/>
      <c r="H5" s="508">
        <f>SUM(I5:K5)</f>
        <v/>
      </c>
      <c r="I5" s="513" t="n"/>
      <c r="J5" s="513" t="n"/>
      <c r="K5" s="515" t="n"/>
      <c r="L5" s="505">
        <f>SUM(M5:O5)</f>
        <v/>
      </c>
      <c r="M5" s="513" t="n"/>
      <c r="N5" s="513" t="n"/>
      <c r="O5" s="514" t="n"/>
      <c r="P5" s="508">
        <f>SUM(Q5:S5)</f>
        <v/>
      </c>
      <c r="Q5" s="513" t="n"/>
      <c r="R5" s="513" t="n"/>
      <c r="S5" s="515" t="n"/>
      <c r="T5" s="505">
        <f>D5+H5+L5+P5</f>
        <v/>
      </c>
      <c r="U5" s="128" t="n"/>
      <c r="V5" s="129" t="n"/>
      <c r="W5" s="119">
        <f>T5-V5</f>
        <v/>
      </c>
      <c r="X5" s="509">
        <f>W5/T5</f>
        <v/>
      </c>
      <c r="Y5" s="516" t="n"/>
    </row>
    <row r="6" ht="14.5" customHeight="1" s="408">
      <c r="A6" s="122" t="inlineStr">
        <is>
          <t>工資</t>
        </is>
      </c>
      <c r="B6" s="511" t="n"/>
      <c r="C6" s="512" t="n"/>
      <c r="D6" s="505">
        <f>SUM(E6:G6)</f>
        <v/>
      </c>
      <c r="E6" s="513" t="n"/>
      <c r="F6" s="513" t="n"/>
      <c r="G6" s="514" t="n"/>
      <c r="H6" s="508">
        <f>SUM(I6:K6)</f>
        <v/>
      </c>
      <c r="I6" s="513" t="n"/>
      <c r="J6" s="513" t="n"/>
      <c r="K6" s="515" t="n"/>
      <c r="L6" s="505">
        <f>SUM(M6:O6)</f>
        <v/>
      </c>
      <c r="M6" s="513" t="n"/>
      <c r="N6" s="513" t="n"/>
      <c r="O6" s="514" t="n"/>
      <c r="P6" s="508">
        <f>SUM(Q6:S6)</f>
        <v/>
      </c>
      <c r="Q6" s="513" t="n"/>
      <c r="R6" s="513" t="n"/>
      <c r="S6" s="515" t="n"/>
      <c r="T6" s="505">
        <f>D6+H6+L6+P6</f>
        <v/>
      </c>
      <c r="U6" s="128" t="n"/>
      <c r="V6" s="129" t="n"/>
      <c r="W6" s="119">
        <f>T6-V6</f>
        <v/>
      </c>
      <c r="X6" s="509">
        <f>W6/T6</f>
        <v/>
      </c>
      <c r="Y6" s="516" t="n"/>
    </row>
    <row r="7" ht="14.5" customHeight="1" s="408">
      <c r="A7" s="122" t="inlineStr">
        <is>
          <t>獎金</t>
        </is>
      </c>
      <c r="B7" s="511" t="n"/>
      <c r="C7" s="512" t="n"/>
      <c r="D7" s="505">
        <f>SUM(E7:G7)</f>
        <v/>
      </c>
      <c r="E7" s="513" t="n"/>
      <c r="F7" s="513" t="n"/>
      <c r="G7" s="514" t="n"/>
      <c r="H7" s="508">
        <f>SUM(I7:K7)</f>
        <v/>
      </c>
      <c r="I7" s="513" t="n"/>
      <c r="J7" s="513" t="n"/>
      <c r="K7" s="515" t="n"/>
      <c r="L7" s="505">
        <f>SUM(M7:O7)</f>
        <v/>
      </c>
      <c r="M7" s="513" t="n"/>
      <c r="N7" s="513" t="n"/>
      <c r="O7" s="514" t="n"/>
      <c r="P7" s="508">
        <f>SUM(Q7:S7)</f>
        <v/>
      </c>
      <c r="Q7" s="513" t="n"/>
      <c r="R7" s="513" t="n"/>
      <c r="S7" s="515" t="n"/>
      <c r="T7" s="505">
        <f>D7+H7+L7+P7</f>
        <v/>
      </c>
      <c r="U7" s="128" t="n"/>
      <c r="V7" s="129" t="n"/>
      <c r="W7" s="119">
        <f>T7-V7</f>
        <v/>
      </c>
      <c r="X7" s="509">
        <f>W7/T7</f>
        <v/>
      </c>
      <c r="Y7" s="516" t="n"/>
    </row>
    <row r="8" ht="14.5" customHeight="1" s="408">
      <c r="A8" s="122" t="inlineStr">
        <is>
          <t>福利費</t>
        </is>
      </c>
      <c r="B8" s="511" t="n"/>
      <c r="C8" s="512" t="n"/>
      <c r="D8" s="505">
        <f>SUM(E8:G8)</f>
        <v/>
      </c>
      <c r="E8" s="513" t="n"/>
      <c r="F8" s="513" t="n"/>
      <c r="G8" s="514" t="n"/>
      <c r="H8" s="508">
        <f>SUM(I8:K8)</f>
        <v/>
      </c>
      <c r="I8" s="513" t="n"/>
      <c r="J8" s="513" t="n"/>
      <c r="K8" s="515" t="n"/>
      <c r="L8" s="505">
        <f>SUM(M8:O8)</f>
        <v/>
      </c>
      <c r="M8" s="513" t="n"/>
      <c r="N8" s="513" t="n"/>
      <c r="O8" s="514" t="n"/>
      <c r="P8" s="508">
        <f>SUM(Q8:S8)</f>
        <v/>
      </c>
      <c r="Q8" s="513" t="n"/>
      <c r="R8" s="513" t="n"/>
      <c r="S8" s="515" t="n"/>
      <c r="T8" s="505">
        <f>D8+H8+L8+P8</f>
        <v/>
      </c>
      <c r="U8" s="128" t="n"/>
      <c r="V8" s="129" t="n"/>
      <c r="W8" s="119">
        <f>T8-V8</f>
        <v/>
      </c>
      <c r="X8" s="509">
        <f>W8/T8</f>
        <v/>
      </c>
      <c r="Y8" s="516" t="n"/>
    </row>
    <row r="9" ht="14.5" customHeight="1" s="408">
      <c r="A9" s="131" t="inlineStr">
        <is>
          <t>伙食費</t>
        </is>
      </c>
      <c r="B9" s="511" t="n"/>
      <c r="C9" s="512" t="n"/>
      <c r="D9" s="505">
        <f>SUM(E9:G9)</f>
        <v/>
      </c>
      <c r="E9" s="513" t="n"/>
      <c r="F9" s="513" t="n"/>
      <c r="G9" s="514" t="n"/>
      <c r="H9" s="508">
        <f>SUM(I9:K9)</f>
        <v/>
      </c>
      <c r="I9" s="513" t="n"/>
      <c r="J9" s="513" t="n"/>
      <c r="K9" s="515" t="n"/>
      <c r="L9" s="505">
        <f>SUM(M9:O9)</f>
        <v/>
      </c>
      <c r="M9" s="513" t="n"/>
      <c r="N9" s="513" t="n"/>
      <c r="O9" s="514" t="n"/>
      <c r="P9" s="508">
        <f>SUM(Q9:S9)</f>
        <v/>
      </c>
      <c r="Q9" s="513" t="n"/>
      <c r="R9" s="513" t="n"/>
      <c r="S9" s="515" t="n"/>
      <c r="T9" s="505">
        <f>D9+H9+L9+P9</f>
        <v/>
      </c>
      <c r="U9" s="128" t="n"/>
      <c r="V9" s="129" t="n"/>
      <c r="W9" s="119">
        <f>T9-V9</f>
        <v/>
      </c>
      <c r="X9" s="509">
        <f>W9/T9</f>
        <v/>
      </c>
      <c r="Y9" s="516" t="n"/>
    </row>
    <row r="10" ht="14.5" customHeight="1" s="408">
      <c r="A10" s="131" t="inlineStr">
        <is>
          <t>收溫費</t>
        </is>
      </c>
      <c r="B10" s="511" t="n"/>
      <c r="C10" s="512" t="n"/>
      <c r="D10" s="505">
        <f>SUM(E10:G10)</f>
        <v/>
      </c>
      <c r="E10" s="513" t="n"/>
      <c r="F10" s="513" t="n"/>
      <c r="G10" s="514" t="n"/>
      <c r="H10" s="508">
        <f>SUM(I10:K10)</f>
        <v/>
      </c>
      <c r="I10" s="513" t="n"/>
      <c r="J10" s="513" t="n"/>
      <c r="K10" s="515" t="n"/>
      <c r="L10" s="505">
        <f>SUM(M10:O10)</f>
        <v/>
      </c>
      <c r="M10" s="513" t="n"/>
      <c r="N10" s="513" t="n"/>
      <c r="O10" s="514" t="n"/>
      <c r="P10" s="508">
        <f>SUM(Q10:S10)</f>
        <v/>
      </c>
      <c r="Q10" s="513" t="n"/>
      <c r="R10" s="513" t="n"/>
      <c r="S10" s="515" t="n"/>
      <c r="T10" s="505">
        <f>D10+H10+L10+P10</f>
        <v/>
      </c>
      <c r="U10" s="128" t="n"/>
      <c r="V10" s="129" t="n"/>
      <c r="W10" s="119">
        <f>T10-V10</f>
        <v/>
      </c>
      <c r="X10" s="509">
        <f>W10/T10</f>
        <v/>
      </c>
      <c r="Y10" s="516" t="n"/>
    </row>
    <row r="11" ht="14.5" customHeight="1" s="408">
      <c r="A11" s="131" t="inlineStr">
        <is>
          <t>房租水電費</t>
        </is>
      </c>
      <c r="B11" s="511" t="n"/>
      <c r="C11" s="512" t="n"/>
      <c r="D11" s="505">
        <f>SUM(E11:G11)</f>
        <v/>
      </c>
      <c r="E11" s="513" t="n"/>
      <c r="F11" s="513" t="n"/>
      <c r="G11" s="514" t="n"/>
      <c r="H11" s="508">
        <f>SUM(I11:K11)</f>
        <v/>
      </c>
      <c r="I11" s="513" t="n"/>
      <c r="J11" s="513" t="n"/>
      <c r="K11" s="515" t="n"/>
      <c r="L11" s="505">
        <f>SUM(M11:O11)</f>
        <v/>
      </c>
      <c r="M11" s="513" t="n"/>
      <c r="N11" s="513" t="n"/>
      <c r="O11" s="514" t="n"/>
      <c r="P11" s="508">
        <f>SUM(Q11:S11)</f>
        <v/>
      </c>
      <c r="Q11" s="513" t="n"/>
      <c r="R11" s="513" t="n"/>
      <c r="S11" s="515" t="n"/>
      <c r="T11" s="505">
        <f>D11+H11+L11+P11</f>
        <v/>
      </c>
      <c r="U11" s="128" t="n"/>
      <c r="V11" s="129" t="n"/>
      <c r="W11" s="119">
        <f>T11-V11</f>
        <v/>
      </c>
      <c r="X11" s="509">
        <f>W11/T11</f>
        <v/>
      </c>
      <c r="Y11" s="516" t="n"/>
    </row>
    <row r="12" ht="14.5" customHeight="1" s="408">
      <c r="A12" s="131" t="inlineStr">
        <is>
          <t>體檢費</t>
        </is>
      </c>
      <c r="B12" s="511" t="n"/>
      <c r="C12" s="512" t="n"/>
      <c r="D12" s="505">
        <f>SUM(E12:G12)</f>
        <v/>
      </c>
      <c r="E12" s="513" t="n"/>
      <c r="F12" s="513" t="n"/>
      <c r="G12" s="514" t="n"/>
      <c r="H12" s="508">
        <f>SUM(I12:K12)</f>
        <v/>
      </c>
      <c r="I12" s="513" t="n"/>
      <c r="J12" s="513" t="n"/>
      <c r="K12" s="515" t="n"/>
      <c r="L12" s="505">
        <f>SUM(M12:O12)</f>
        <v/>
      </c>
      <c r="M12" s="513" t="n"/>
      <c r="N12" s="513" t="n"/>
      <c r="O12" s="514" t="n"/>
      <c r="P12" s="508">
        <f>SUM(Q12:S12)</f>
        <v/>
      </c>
      <c r="Q12" s="513" t="n"/>
      <c r="R12" s="513" t="n"/>
      <c r="S12" s="515" t="n"/>
      <c r="T12" s="505">
        <f>D12+H12+L12+P12</f>
        <v/>
      </c>
      <c r="U12" s="128" t="n"/>
      <c r="V12" s="129" t="n"/>
      <c r="W12" s="119">
        <f>T12-V12</f>
        <v/>
      </c>
      <c r="X12" s="509">
        <f>W12/T12</f>
        <v/>
      </c>
      <c r="Y12" s="516" t="n"/>
    </row>
    <row r="13" ht="14.5" customHeight="1" s="408">
      <c r="A13" s="131" t="inlineStr">
        <is>
          <t>節日補貼</t>
        </is>
      </c>
      <c r="B13" s="511" t="n"/>
      <c r="C13" s="512" t="n"/>
      <c r="D13" s="505">
        <f>SUM(E13:G13)</f>
        <v/>
      </c>
      <c r="E13" s="513" t="n"/>
      <c r="F13" s="513" t="n"/>
      <c r="G13" s="514" t="n"/>
      <c r="H13" s="508">
        <f>SUM(I13:K13)</f>
        <v/>
      </c>
      <c r="I13" s="513" t="n"/>
      <c r="J13" s="513" t="n"/>
      <c r="K13" s="515" t="n"/>
      <c r="L13" s="505">
        <f>SUM(M13:O13)</f>
        <v/>
      </c>
      <c r="M13" s="513" t="n"/>
      <c r="N13" s="513" t="n"/>
      <c r="O13" s="514" t="n"/>
      <c r="P13" s="508">
        <f>SUM(Q13:S13)</f>
        <v/>
      </c>
      <c r="Q13" s="513" t="n"/>
      <c r="R13" s="513" t="n"/>
      <c r="S13" s="515" t="n"/>
      <c r="T13" s="505">
        <f>D13+H13+L13+P13</f>
        <v/>
      </c>
      <c r="U13" s="128" t="n"/>
      <c r="V13" s="129" t="n"/>
      <c r="W13" s="119">
        <f>T13-V13</f>
        <v/>
      </c>
      <c r="X13" s="509">
        <f>W13/T13</f>
        <v/>
      </c>
      <c r="Y13" s="516" t="n"/>
    </row>
    <row r="14" ht="14.5" customHeight="1" s="408">
      <c r="A14" s="131" t="inlineStr">
        <is>
          <t>個人補貼</t>
        </is>
      </c>
      <c r="B14" s="511" t="n"/>
      <c r="C14" s="512" t="n"/>
      <c r="D14" s="505">
        <f>SUM(E14:G14)</f>
        <v/>
      </c>
      <c r="E14" s="513" t="n"/>
      <c r="F14" s="513" t="n"/>
      <c r="G14" s="514" t="n"/>
      <c r="H14" s="508">
        <f>SUM(I14:K14)</f>
        <v/>
      </c>
      <c r="I14" s="513" t="n"/>
      <c r="J14" s="513" t="n"/>
      <c r="K14" s="515" t="n"/>
      <c r="L14" s="505">
        <f>SUM(M14:O14)</f>
        <v/>
      </c>
      <c r="M14" s="513" t="n"/>
      <c r="N14" s="513" t="n"/>
      <c r="O14" s="514" t="n"/>
      <c r="P14" s="508">
        <f>SUM(Q14:S14)</f>
        <v/>
      </c>
      <c r="Q14" s="513" t="n"/>
      <c r="R14" s="513" t="n"/>
      <c r="S14" s="515" t="n"/>
      <c r="T14" s="505">
        <f>D14+H14+L14+P14</f>
        <v/>
      </c>
      <c r="U14" s="128" t="n"/>
      <c r="V14" s="129" t="n"/>
      <c r="W14" s="119">
        <f>T14-V14</f>
        <v/>
      </c>
      <c r="X14" s="509">
        <f>W14/T14</f>
        <v/>
      </c>
      <c r="Y14" s="516" t="n"/>
    </row>
    <row r="15" ht="14.5" customHeight="1" s="408">
      <c r="A15" s="132" t="inlineStr">
        <is>
          <t>住房補貼</t>
        </is>
      </c>
      <c r="B15" s="511" t="n"/>
      <c r="C15" s="512" t="n"/>
      <c r="D15" s="505">
        <f>SUM(E15:G15)</f>
        <v/>
      </c>
      <c r="E15" s="513" t="n"/>
      <c r="F15" s="513" t="n"/>
      <c r="G15" s="514" t="n"/>
      <c r="H15" s="508">
        <f>SUM(I15:K15)</f>
        <v/>
      </c>
      <c r="I15" s="513" t="n"/>
      <c r="J15" s="513" t="n"/>
      <c r="K15" s="515" t="n"/>
      <c r="L15" s="505">
        <f>SUM(M15:O15)</f>
        <v/>
      </c>
      <c r="M15" s="513" t="n"/>
      <c r="N15" s="513" t="n"/>
      <c r="O15" s="514" t="n"/>
      <c r="P15" s="508">
        <f>SUM(Q15:S15)</f>
        <v/>
      </c>
      <c r="Q15" s="513" t="n"/>
      <c r="R15" s="513" t="n"/>
      <c r="S15" s="515" t="n"/>
      <c r="T15" s="505">
        <f>D15+H15+L15+P15</f>
        <v/>
      </c>
      <c r="U15" s="128" t="n"/>
      <c r="V15" s="129" t="n"/>
      <c r="W15" s="119">
        <f>T15-V15</f>
        <v/>
      </c>
      <c r="X15" s="509">
        <f>W15/T15</f>
        <v/>
      </c>
      <c r="Y15" s="516" t="n"/>
    </row>
    <row r="16" ht="14.5" customHeight="1" s="408">
      <c r="A16" s="132" t="inlineStr">
        <is>
          <t>交通補貼</t>
        </is>
      </c>
      <c r="B16" s="511" t="n"/>
      <c r="C16" s="512" t="n"/>
      <c r="D16" s="505">
        <f>SUM(E16:G16)</f>
        <v/>
      </c>
      <c r="E16" s="513" t="n"/>
      <c r="F16" s="513" t="n"/>
      <c r="G16" s="514" t="n"/>
      <c r="H16" s="508">
        <f>SUM(I16:K16)</f>
        <v/>
      </c>
      <c r="I16" s="513" t="n"/>
      <c r="J16" s="513" t="n"/>
      <c r="K16" s="515" t="n"/>
      <c r="L16" s="505">
        <f>SUM(M16:O16)</f>
        <v/>
      </c>
      <c r="M16" s="513" t="n"/>
      <c r="N16" s="513" t="n"/>
      <c r="O16" s="514" t="n"/>
      <c r="P16" s="508">
        <f>SUM(Q16:S16)</f>
        <v/>
      </c>
      <c r="Q16" s="513" t="n"/>
      <c r="R16" s="513" t="n"/>
      <c r="S16" s="515" t="n"/>
      <c r="T16" s="505">
        <f>D16+H16+L16+P16</f>
        <v/>
      </c>
      <c r="U16" s="128" t="n"/>
      <c r="V16" s="129" t="n"/>
      <c r="W16" s="119">
        <f>T16-V16</f>
        <v/>
      </c>
      <c r="X16" s="509">
        <f>W16/T16</f>
        <v/>
      </c>
      <c r="Y16" s="516" t="n"/>
    </row>
    <row r="17" ht="14.5" customHeight="1" s="408">
      <c r="A17" s="132" t="inlineStr">
        <is>
          <t>通訊補貼</t>
        </is>
      </c>
      <c r="B17" s="511" t="n"/>
      <c r="C17" s="512" t="n"/>
      <c r="D17" s="505">
        <f>SUM(E17:G17)</f>
        <v/>
      </c>
      <c r="E17" s="513" t="n"/>
      <c r="F17" s="513" t="n"/>
      <c r="G17" s="514" t="n"/>
      <c r="H17" s="508">
        <f>SUM(I17:K17)</f>
        <v/>
      </c>
      <c r="I17" s="513" t="n"/>
      <c r="J17" s="513" t="n"/>
      <c r="K17" s="515" t="n"/>
      <c r="L17" s="505">
        <f>SUM(M17:O17)</f>
        <v/>
      </c>
      <c r="M17" s="513" t="n"/>
      <c r="N17" s="513" t="n"/>
      <c r="O17" s="514" t="n"/>
      <c r="P17" s="508">
        <f>SUM(Q17:S17)</f>
        <v/>
      </c>
      <c r="Q17" s="513" t="n"/>
      <c r="R17" s="513" t="n"/>
      <c r="S17" s="515" t="n"/>
      <c r="T17" s="505">
        <f>D17+H17+L17+P17</f>
        <v/>
      </c>
      <c r="U17" s="128" t="n"/>
      <c r="V17" s="129" t="n"/>
      <c r="W17" s="119">
        <f>T17-V17</f>
        <v/>
      </c>
      <c r="X17" s="509">
        <f>W17/T17</f>
        <v/>
      </c>
      <c r="Y17" s="516" t="n"/>
    </row>
    <row r="18" ht="14.5" customHeight="1" s="408">
      <c r="A18" s="131" t="inlineStr">
        <is>
          <t>活動經費</t>
        </is>
      </c>
      <c r="B18" s="511" t="n"/>
      <c r="C18" s="512" t="n"/>
      <c r="D18" s="505">
        <f>SUM(E18:G18)</f>
        <v/>
      </c>
      <c r="E18" s="513" t="n"/>
      <c r="F18" s="513" t="n"/>
      <c r="G18" s="514" t="n"/>
      <c r="H18" s="508">
        <f>SUM(I18:K18)</f>
        <v/>
      </c>
      <c r="I18" s="513" t="n"/>
      <c r="J18" s="513" t="n"/>
      <c r="K18" s="515" t="n"/>
      <c r="L18" s="505">
        <f>SUM(M18:O18)</f>
        <v/>
      </c>
      <c r="M18" s="513" t="n"/>
      <c r="N18" s="513" t="n"/>
      <c r="O18" s="514" t="n"/>
      <c r="P18" s="508">
        <f>SUM(Q18:S18)</f>
        <v/>
      </c>
      <c r="Q18" s="513" t="n"/>
      <c r="R18" s="513" t="n"/>
      <c r="S18" s="515" t="n"/>
      <c r="T18" s="505">
        <f>D18+H18+L18+P18</f>
        <v/>
      </c>
      <c r="U18" s="128" t="n"/>
      <c r="V18" s="129" t="n"/>
      <c r="W18" s="119">
        <f>T18-V18</f>
        <v/>
      </c>
      <c r="X18" s="509">
        <f>W18/T18</f>
        <v/>
      </c>
      <c r="Y18" s="516" t="n"/>
    </row>
    <row r="19" ht="14.5" customHeight="1" s="408">
      <c r="A19" s="131" t="inlineStr">
        <is>
          <t>其他</t>
        </is>
      </c>
      <c r="B19" s="511" t="n"/>
      <c r="C19" s="512" t="n"/>
      <c r="D19" s="505">
        <f>SUM(E19:G19)</f>
        <v/>
      </c>
      <c r="E19" s="513" t="n"/>
      <c r="F19" s="513" t="n"/>
      <c r="G19" s="514" t="n"/>
      <c r="H19" s="508">
        <f>SUM(I19:K19)</f>
        <v/>
      </c>
      <c r="I19" s="513" t="n"/>
      <c r="J19" s="513" t="n"/>
      <c r="K19" s="515" t="n"/>
      <c r="L19" s="505">
        <f>SUM(M19:O19)</f>
        <v/>
      </c>
      <c r="M19" s="513" t="n"/>
      <c r="N19" s="513" t="n"/>
      <c r="O19" s="514" t="n"/>
      <c r="P19" s="508">
        <f>SUM(Q19:S19)</f>
        <v/>
      </c>
      <c r="Q19" s="513" t="n"/>
      <c r="R19" s="513" t="n"/>
      <c r="S19" s="515" t="n"/>
      <c r="T19" s="505">
        <f>D19+H19+L19+P19</f>
        <v/>
      </c>
      <c r="U19" s="128" t="n"/>
      <c r="V19" s="129" t="n"/>
      <c r="W19" s="119">
        <f>T19-V19</f>
        <v/>
      </c>
      <c r="X19" s="509">
        <f>W19/T19</f>
        <v/>
      </c>
      <c r="Y19" s="516" t="n"/>
    </row>
    <row r="20" ht="14.5" customHeight="1" s="408">
      <c r="A20" s="122" t="inlineStr">
        <is>
          <t>工會經費</t>
        </is>
      </c>
      <c r="B20" s="511" t="n"/>
      <c r="C20" s="512" t="n"/>
      <c r="D20" s="505">
        <f>SUM(E20:G20)</f>
        <v/>
      </c>
      <c r="E20" s="513" t="n"/>
      <c r="F20" s="513" t="n"/>
      <c r="G20" s="514" t="n"/>
      <c r="H20" s="508">
        <f>SUM(I20:K20)</f>
        <v/>
      </c>
      <c r="I20" s="513" t="n"/>
      <c r="J20" s="513" t="n"/>
      <c r="K20" s="515" t="n"/>
      <c r="L20" s="505">
        <f>SUM(M20:O20)</f>
        <v/>
      </c>
      <c r="M20" s="513" t="n"/>
      <c r="N20" s="513" t="n"/>
      <c r="O20" s="514" t="n"/>
      <c r="P20" s="508">
        <f>SUM(Q20:S20)</f>
        <v/>
      </c>
      <c r="Q20" s="513" t="n"/>
      <c r="R20" s="513" t="n"/>
      <c r="S20" s="515" t="n"/>
      <c r="T20" s="505">
        <f>D20+H20+L20+P20</f>
        <v/>
      </c>
      <c r="U20" s="128" t="n"/>
      <c r="V20" s="129" t="n"/>
      <c r="W20" s="119">
        <f>T20-V20</f>
        <v/>
      </c>
      <c r="X20" s="509">
        <f>W20/T20</f>
        <v/>
      </c>
      <c r="Y20" s="516" t="n"/>
    </row>
    <row r="21" ht="14.5" customHeight="1" s="408">
      <c r="A21" s="122" t="inlineStr">
        <is>
          <t>職工教育經費</t>
        </is>
      </c>
      <c r="B21" s="511" t="n"/>
      <c r="C21" s="512" t="n"/>
      <c r="D21" s="505">
        <f>SUM(E21:G21)</f>
        <v/>
      </c>
      <c r="E21" s="513" t="n"/>
      <c r="F21" s="513" t="n"/>
      <c r="G21" s="514" t="n"/>
      <c r="H21" s="508">
        <f>SUM(I21:K21)</f>
        <v/>
      </c>
      <c r="I21" s="513" t="n"/>
      <c r="J21" s="513" t="n"/>
      <c r="K21" s="515" t="n"/>
      <c r="L21" s="505">
        <f>SUM(M21:O21)</f>
        <v/>
      </c>
      <c r="M21" s="513" t="n"/>
      <c r="N21" s="513" t="n"/>
      <c r="O21" s="514" t="n"/>
      <c r="P21" s="508">
        <f>SUM(Q21:S21)</f>
        <v/>
      </c>
      <c r="Q21" s="513" t="n"/>
      <c r="R21" s="513" t="n"/>
      <c r="S21" s="515" t="n"/>
      <c r="T21" s="505">
        <f>D21+H21+L21+P21</f>
        <v/>
      </c>
      <c r="U21" s="128" t="n"/>
      <c r="V21" s="129" t="n"/>
      <c r="W21" s="119">
        <f>T21-V21</f>
        <v/>
      </c>
      <c r="X21" s="509">
        <f>W21/T21</f>
        <v/>
      </c>
      <c r="Y21" s="516" t="n"/>
    </row>
    <row r="22" ht="14.5" customHeight="1" s="408">
      <c r="A22" s="122" t="inlineStr">
        <is>
          <t>職工五險</t>
        </is>
      </c>
      <c r="B22" s="511" t="n"/>
      <c r="C22" s="512" t="n"/>
      <c r="D22" s="505">
        <f>SUM(E22:G22)</f>
        <v/>
      </c>
      <c r="E22" s="513" t="n"/>
      <c r="F22" s="513" t="n"/>
      <c r="G22" s="514" t="n"/>
      <c r="H22" s="508">
        <f>SUM(I22:K22)</f>
        <v/>
      </c>
      <c r="I22" s="513" t="n"/>
      <c r="J22" s="513" t="n"/>
      <c r="K22" s="515" t="n"/>
      <c r="L22" s="505">
        <f>SUM(M22:O22)</f>
        <v/>
      </c>
      <c r="M22" s="513" t="n"/>
      <c r="N22" s="513" t="n"/>
      <c r="O22" s="514" t="n"/>
      <c r="P22" s="508">
        <f>SUM(Q22:S22)</f>
        <v/>
      </c>
      <c r="Q22" s="513" t="n"/>
      <c r="R22" s="513" t="n"/>
      <c r="S22" s="515" t="n"/>
      <c r="T22" s="505">
        <f>D22+H22+L22+P22</f>
        <v/>
      </c>
      <c r="U22" s="128" t="n"/>
      <c r="V22" s="129" t="n"/>
      <c r="W22" s="119">
        <f>T22-V22</f>
        <v/>
      </c>
      <c r="X22" s="509">
        <f>W22/T22</f>
        <v/>
      </c>
      <c r="Y22" s="516" t="n"/>
    </row>
    <row r="23" ht="14.5" customHeight="1" s="408">
      <c r="A23" s="122" t="inlineStr">
        <is>
          <t>住房公積金</t>
        </is>
      </c>
      <c r="B23" s="511" t="n"/>
      <c r="C23" s="512" t="n"/>
      <c r="D23" s="505">
        <f>SUM(E23:G23)</f>
        <v/>
      </c>
      <c r="E23" s="513" t="n"/>
      <c r="F23" s="513" t="n"/>
      <c r="G23" s="514" t="n"/>
      <c r="H23" s="508">
        <f>SUM(I23:K23)</f>
        <v/>
      </c>
      <c r="I23" s="513" t="n"/>
      <c r="J23" s="513" t="n"/>
      <c r="K23" s="515" t="n"/>
      <c r="L23" s="505">
        <f>SUM(M23:O23)</f>
        <v/>
      </c>
      <c r="M23" s="513" t="n"/>
      <c r="N23" s="513" t="n"/>
      <c r="O23" s="514" t="n"/>
      <c r="P23" s="508">
        <f>SUM(Q23:S23)</f>
        <v/>
      </c>
      <c r="Q23" s="513" t="n"/>
      <c r="R23" s="513" t="n"/>
      <c r="S23" s="515" t="n"/>
      <c r="T23" s="505">
        <f>D23+H23+L23+P23</f>
        <v/>
      </c>
      <c r="U23" s="128" t="n"/>
      <c r="V23" s="129" t="n"/>
      <c r="W23" s="119">
        <f>T23-V23</f>
        <v/>
      </c>
      <c r="X23" s="509">
        <f>W23/T23</f>
        <v/>
      </c>
      <c r="Y23" s="516" t="n"/>
    </row>
    <row r="24" ht="14.5" customHeight="1" s="408">
      <c r="A24" s="122" t="inlineStr">
        <is>
          <t>企業年金</t>
        </is>
      </c>
      <c r="B24" s="511" t="n"/>
      <c r="C24" s="512" t="n"/>
      <c r="D24" s="505">
        <f>SUM(E24:G24)</f>
        <v/>
      </c>
      <c r="E24" s="513" t="n"/>
      <c r="F24" s="513" t="n"/>
      <c r="G24" s="514" t="n"/>
      <c r="H24" s="508">
        <f>SUM(I24:K24)</f>
        <v/>
      </c>
      <c r="I24" s="513" t="n"/>
      <c r="J24" s="513" t="n"/>
      <c r="K24" s="515" t="n"/>
      <c r="L24" s="505">
        <f>SUM(M24:O24)</f>
        <v/>
      </c>
      <c r="M24" s="513" t="n"/>
      <c r="N24" s="513" t="n"/>
      <c r="O24" s="514" t="n"/>
      <c r="P24" s="508">
        <f>SUM(Q24:S24)</f>
        <v/>
      </c>
      <c r="Q24" s="513" t="n"/>
      <c r="R24" s="513" t="n"/>
      <c r="S24" s="515" t="n"/>
      <c r="T24" s="505">
        <f>D24+H24+L24+P24</f>
        <v/>
      </c>
      <c r="U24" s="128" t="n"/>
      <c r="V24" s="129" t="n"/>
      <c r="W24" s="119">
        <f>T24-V24</f>
        <v/>
      </c>
      <c r="X24" s="509">
        <f>W24/T24</f>
        <v/>
      </c>
      <c r="Y24" s="516" t="n"/>
    </row>
    <row r="25" ht="14.5" customHeight="1" s="408">
      <c r="A25" s="122" t="inlineStr">
        <is>
          <t>商業保險</t>
        </is>
      </c>
      <c r="B25" s="511" t="n"/>
      <c r="C25" s="512" t="n"/>
      <c r="D25" s="505">
        <f>SUM(E25:G25)</f>
        <v/>
      </c>
      <c r="E25" s="513" t="n"/>
      <c r="F25" s="513" t="n"/>
      <c r="G25" s="514" t="n"/>
      <c r="H25" s="508">
        <f>SUM(I25:K25)</f>
        <v/>
      </c>
      <c r="I25" s="513" t="n"/>
      <c r="J25" s="513" t="n"/>
      <c r="K25" s="515" t="n"/>
      <c r="L25" s="505">
        <f>SUM(M25:O25)</f>
        <v/>
      </c>
      <c r="M25" s="513" t="n"/>
      <c r="N25" s="513" t="n"/>
      <c r="O25" s="514" t="n"/>
      <c r="P25" s="508">
        <f>SUM(Q25:S25)</f>
        <v/>
      </c>
      <c r="Q25" s="513" t="n"/>
      <c r="R25" s="513" t="n"/>
      <c r="S25" s="515" t="n"/>
      <c r="T25" s="505">
        <f>D25+H25+L25+P25</f>
        <v/>
      </c>
      <c r="U25" s="128" t="n"/>
      <c r="V25" s="129" t="n"/>
      <c r="W25" s="119">
        <f>T25-V25</f>
        <v/>
      </c>
      <c r="X25" s="509">
        <f>W25/T25</f>
        <v/>
      </c>
      <c r="Y25" s="516" t="n"/>
    </row>
    <row r="26" ht="14.5" customHeight="1" s="408">
      <c r="A26" s="122" t="inlineStr">
        <is>
          <t>辭退福利</t>
        </is>
      </c>
      <c r="B26" s="511" t="n"/>
      <c r="C26" s="512" t="n"/>
      <c r="D26" s="505">
        <f>SUM(E26:G26)</f>
        <v/>
      </c>
      <c r="E26" s="513" t="n"/>
      <c r="F26" s="513" t="n"/>
      <c r="G26" s="514" t="n"/>
      <c r="H26" s="508">
        <f>SUM(I26:K26)</f>
        <v/>
      </c>
      <c r="I26" s="513" t="n"/>
      <c r="J26" s="513" t="n"/>
      <c r="K26" s="515" t="n"/>
      <c r="L26" s="505">
        <f>SUM(M26:O26)</f>
        <v/>
      </c>
      <c r="M26" s="513" t="n"/>
      <c r="N26" s="513" t="n"/>
      <c r="O26" s="514" t="n"/>
      <c r="P26" s="508">
        <f>SUM(Q26:S26)</f>
        <v/>
      </c>
      <c r="Q26" s="513" t="n"/>
      <c r="R26" s="513" t="n"/>
      <c r="S26" s="515" t="n"/>
      <c r="T26" s="505">
        <f>D26+H26+L26+P26</f>
        <v/>
      </c>
      <c r="U26" s="128" t="n"/>
      <c r="V26" s="129" t="n"/>
      <c r="W26" s="119">
        <f>T26-V26</f>
        <v/>
      </c>
      <c r="X26" s="509">
        <f>W26/T26</f>
        <v/>
      </c>
      <c r="Y26" s="516" t="n"/>
    </row>
    <row r="27" ht="14.5" customHeight="1" s="408">
      <c r="A27" s="122" t="inlineStr">
        <is>
          <t>服裝費</t>
        </is>
      </c>
      <c r="B27" s="511" t="n"/>
      <c r="C27" s="512" t="n"/>
      <c r="D27" s="505">
        <f>SUM(E27:G27)</f>
        <v/>
      </c>
      <c r="E27" s="513" t="n"/>
      <c r="F27" s="513" t="n"/>
      <c r="G27" s="514" t="n"/>
      <c r="H27" s="508">
        <f>SUM(I27:K27)</f>
        <v/>
      </c>
      <c r="I27" s="513" t="n"/>
      <c r="J27" s="513" t="n"/>
      <c r="K27" s="515" t="n"/>
      <c r="L27" s="505">
        <f>SUM(M27:O27)</f>
        <v/>
      </c>
      <c r="M27" s="513" t="n"/>
      <c r="N27" s="513" t="n"/>
      <c r="O27" s="514" t="n"/>
      <c r="P27" s="508">
        <f>SUM(Q27:S27)</f>
        <v/>
      </c>
      <c r="Q27" s="513" t="n"/>
      <c r="R27" s="513" t="n"/>
      <c r="S27" s="515" t="n"/>
      <c r="T27" s="505">
        <f>D27+H27+L27+P27</f>
        <v/>
      </c>
      <c r="U27" s="128" t="n"/>
      <c r="V27" s="129" t="n"/>
      <c r="W27" s="119">
        <f>T27-V27</f>
        <v/>
      </c>
      <c r="X27" s="509">
        <f>W27/T27</f>
        <v/>
      </c>
      <c r="Y27" s="516" t="n"/>
    </row>
    <row r="28" ht="14.5" customHeight="1" s="408">
      <c r="A28" s="122" t="inlineStr">
        <is>
          <t>午餐費</t>
        </is>
      </c>
      <c r="B28" s="511" t="n"/>
      <c r="C28" s="512" t="n"/>
      <c r="D28" s="505">
        <f>SUM(E28:G28)</f>
        <v/>
      </c>
      <c r="E28" s="513" t="n"/>
      <c r="F28" s="513" t="n"/>
      <c r="G28" s="514" t="n"/>
      <c r="H28" s="508">
        <f>SUM(I28:K28)</f>
        <v/>
      </c>
      <c r="I28" s="513" t="n"/>
      <c r="J28" s="513" t="n"/>
      <c r="K28" s="515" t="n"/>
      <c r="L28" s="505">
        <f>SUM(M28:O28)</f>
        <v/>
      </c>
      <c r="M28" s="513" t="n"/>
      <c r="N28" s="513" t="n"/>
      <c r="O28" s="514" t="n"/>
      <c r="P28" s="508">
        <f>SUM(Q28:S28)</f>
        <v/>
      </c>
      <c r="Q28" s="513" t="n"/>
      <c r="R28" s="513" t="n"/>
      <c r="S28" s="515" t="n"/>
      <c r="T28" s="505">
        <f>D28+H28+L28+P28</f>
        <v/>
      </c>
      <c r="U28" s="128" t="n"/>
      <c r="V28" s="129" t="n"/>
      <c r="W28" s="119">
        <f>T28-V28</f>
        <v/>
      </c>
      <c r="X28" s="509">
        <f>W28/T28</f>
        <v/>
      </c>
      <c r="Y28" s="516" t="n"/>
    </row>
    <row r="29" ht="14.5" customHeight="1" s="408">
      <c r="A29" s="122" t="inlineStr">
        <is>
          <t>旅遊費</t>
        </is>
      </c>
      <c r="B29" s="511" t="n"/>
      <c r="C29" s="512" t="n"/>
      <c r="D29" s="505">
        <f>SUM(E29:G29)</f>
        <v/>
      </c>
      <c r="E29" s="513" t="n"/>
      <c r="F29" s="513" t="n"/>
      <c r="G29" s="514" t="n"/>
      <c r="H29" s="508">
        <f>SUM(I29:K29)</f>
        <v/>
      </c>
      <c r="I29" s="513" t="n"/>
      <c r="J29" s="513" t="n"/>
      <c r="K29" s="515" t="n"/>
      <c r="L29" s="505">
        <f>SUM(M29:O29)</f>
        <v/>
      </c>
      <c r="M29" s="513" t="n"/>
      <c r="N29" s="513" t="n"/>
      <c r="O29" s="514" t="n"/>
      <c r="P29" s="508">
        <f>SUM(Q29:S29)</f>
        <v/>
      </c>
      <c r="Q29" s="513" t="n"/>
      <c r="R29" s="513" t="n"/>
      <c r="S29" s="515" t="n"/>
      <c r="T29" s="505">
        <f>D29+H29+L29+P29</f>
        <v/>
      </c>
      <c r="U29" s="128" t="n"/>
      <c r="V29" s="129" t="n"/>
      <c r="W29" s="119">
        <f>T29-V29</f>
        <v/>
      </c>
      <c r="X29" s="509">
        <f>W29/T29</f>
        <v/>
      </c>
      <c r="Y29" s="516" t="n"/>
    </row>
    <row r="30" ht="14.5" customHeight="1" s="408">
      <c r="A30" s="122" t="inlineStr">
        <is>
          <t>其他</t>
        </is>
      </c>
      <c r="B30" s="511" t="n"/>
      <c r="C30" s="512" t="n"/>
      <c r="D30" s="505">
        <f>SUM(E30:G30)</f>
        <v/>
      </c>
      <c r="E30" s="513" t="n"/>
      <c r="F30" s="513" t="n"/>
      <c r="G30" s="514" t="n"/>
      <c r="H30" s="508">
        <f>SUM(I30:K30)</f>
        <v/>
      </c>
      <c r="I30" s="513" t="n"/>
      <c r="J30" s="513" t="n"/>
      <c r="K30" s="515" t="n"/>
      <c r="L30" s="505">
        <f>SUM(M30:O30)</f>
        <v/>
      </c>
      <c r="M30" s="513" t="n"/>
      <c r="N30" s="513" t="n"/>
      <c r="O30" s="514" t="n"/>
      <c r="P30" s="508">
        <f>SUM(Q30:S30)</f>
        <v/>
      </c>
      <c r="Q30" s="513" t="n"/>
      <c r="R30" s="513" t="n"/>
      <c r="S30" s="515" t="n"/>
      <c r="T30" s="505">
        <f>D30+H30+L30+P30</f>
        <v/>
      </c>
      <c r="U30" s="128" t="n"/>
      <c r="V30" s="129" t="n"/>
      <c r="W30" s="119">
        <f>T30-V30</f>
        <v/>
      </c>
      <c r="X30" s="509">
        <f>W30/T30</f>
        <v/>
      </c>
      <c r="Y30" s="516" t="n"/>
    </row>
    <row r="31" ht="14.5" customHeight="1" s="408">
      <c r="A31" s="133" t="inlineStr">
        <is>
          <t>電話費用</t>
        </is>
      </c>
      <c r="B31" s="511" t="n"/>
      <c r="C31" s="512" t="n"/>
      <c r="D31" s="505">
        <f>SUM(E31:G31)</f>
        <v/>
      </c>
      <c r="E31" s="513" t="n"/>
      <c r="F31" s="513" t="n"/>
      <c r="G31" s="514" t="n"/>
      <c r="H31" s="508">
        <f>SUM(I31:K31)</f>
        <v/>
      </c>
      <c r="I31" s="513" t="n"/>
      <c r="J31" s="513" t="n"/>
      <c r="K31" s="515" t="n"/>
      <c r="L31" s="505">
        <f>SUM(M31:O31)</f>
        <v/>
      </c>
      <c r="M31" s="513" t="n"/>
      <c r="N31" s="513" t="n"/>
      <c r="O31" s="514" t="n"/>
      <c r="P31" s="508">
        <f>SUM(Q31:S31)</f>
        <v/>
      </c>
      <c r="Q31" s="513" t="n"/>
      <c r="R31" s="513" t="n"/>
      <c r="S31" s="515" t="n"/>
      <c r="T31" s="505">
        <f>D31+H31+L31+P31</f>
        <v/>
      </c>
      <c r="U31" s="128" t="n"/>
      <c r="V31" s="129" t="n"/>
      <c r="W31" s="119">
        <f>T31-V31</f>
        <v/>
      </c>
      <c r="X31" s="509">
        <f>W31/T31</f>
        <v/>
      </c>
      <c r="Y31" s="516" t="n"/>
    </row>
    <row r="32" ht="14.5" customHeight="1" s="408">
      <c r="A32" s="133" t="inlineStr">
        <is>
          <t>辦公水費</t>
        </is>
      </c>
      <c r="B32" s="511" t="n"/>
      <c r="C32" s="512" t="n"/>
      <c r="D32" s="505">
        <f>SUM(E32:G32)</f>
        <v/>
      </c>
      <c r="E32" s="513" t="n"/>
      <c r="F32" s="513" t="n"/>
      <c r="G32" s="514" t="n"/>
      <c r="H32" s="508">
        <f>SUM(I32:K32)</f>
        <v/>
      </c>
      <c r="I32" s="513" t="n"/>
      <c r="J32" s="513" t="n"/>
      <c r="K32" s="515" t="n"/>
      <c r="L32" s="505">
        <f>SUM(M32:O32)</f>
        <v/>
      </c>
      <c r="M32" s="513" t="n"/>
      <c r="N32" s="513" t="n"/>
      <c r="O32" s="514" t="n"/>
      <c r="P32" s="508">
        <f>SUM(Q32:S32)</f>
        <v/>
      </c>
      <c r="Q32" s="513" t="n"/>
      <c r="R32" s="513" t="n"/>
      <c r="S32" s="515" t="n"/>
      <c r="T32" s="505">
        <f>D32+H32+L32+P32</f>
        <v/>
      </c>
      <c r="U32" s="128" t="n"/>
      <c r="V32" s="129" t="n"/>
      <c r="W32" s="119">
        <f>T32-V32</f>
        <v/>
      </c>
      <c r="X32" s="509">
        <f>W32/T32</f>
        <v/>
      </c>
      <c r="Y32" s="516" t="n"/>
    </row>
    <row r="33" ht="14.5" customHeight="1" s="408">
      <c r="A33" s="133" t="inlineStr">
        <is>
          <t>辦公電費</t>
        </is>
      </c>
      <c r="B33" s="511" t="n"/>
      <c r="C33" s="512" t="n"/>
      <c r="D33" s="505">
        <f>SUM(E33:G33)</f>
        <v/>
      </c>
      <c r="E33" s="513" t="n"/>
      <c r="F33" s="513" t="n"/>
      <c r="G33" s="514" t="n"/>
      <c r="H33" s="508">
        <f>SUM(I33:K33)</f>
        <v/>
      </c>
      <c r="I33" s="513" t="n"/>
      <c r="J33" s="513" t="n"/>
      <c r="K33" s="515" t="n"/>
      <c r="L33" s="505">
        <f>SUM(M33:O33)</f>
        <v/>
      </c>
      <c r="M33" s="513" t="n"/>
      <c r="N33" s="513" t="n"/>
      <c r="O33" s="514" t="n"/>
      <c r="P33" s="508">
        <f>SUM(Q33:S33)</f>
        <v/>
      </c>
      <c r="Q33" s="513" t="n"/>
      <c r="R33" s="513" t="n"/>
      <c r="S33" s="515" t="n"/>
      <c r="T33" s="505">
        <f>D33+H33+L33+P33</f>
        <v/>
      </c>
      <c r="U33" s="128" t="n"/>
      <c r="V33" s="129" t="n"/>
      <c r="W33" s="119">
        <f>T33-V33</f>
        <v/>
      </c>
      <c r="X33" s="509">
        <f>W33/T33</f>
        <v/>
      </c>
      <c r="Y33" s="516" t="n"/>
    </row>
    <row r="34" ht="14.5" customHeight="1" s="408">
      <c r="A34" s="133" t="inlineStr">
        <is>
          <t>辦公用品</t>
        </is>
      </c>
      <c r="B34" s="511" t="n"/>
      <c r="C34" s="512" t="n"/>
      <c r="D34" s="505">
        <f>SUM(E34:G34)</f>
        <v/>
      </c>
      <c r="E34" s="513" t="n"/>
      <c r="F34" s="513" t="n"/>
      <c r="G34" s="514" t="n"/>
      <c r="H34" s="508">
        <f>SUM(I34:K34)</f>
        <v/>
      </c>
      <c r="I34" s="513" t="n"/>
      <c r="J34" s="513" t="n"/>
      <c r="K34" s="515" t="n"/>
      <c r="L34" s="505">
        <f>SUM(M34:O34)</f>
        <v/>
      </c>
      <c r="M34" s="513" t="n"/>
      <c r="N34" s="513" t="n"/>
      <c r="O34" s="514" t="n"/>
      <c r="P34" s="508">
        <f>SUM(Q34:S34)</f>
        <v/>
      </c>
      <c r="Q34" s="513" t="n"/>
      <c r="R34" s="513" t="n"/>
      <c r="S34" s="515" t="n"/>
      <c r="T34" s="505">
        <f>D34+H34+L34+P34</f>
        <v/>
      </c>
      <c r="U34" s="128" t="n"/>
      <c r="V34" s="129" t="n"/>
      <c r="W34" s="119">
        <f>T34-V34</f>
        <v/>
      </c>
      <c r="X34" s="509">
        <f>W34/T34</f>
        <v/>
      </c>
      <c r="Y34" s="516" t="n"/>
    </row>
    <row r="35" ht="14.5" customHeight="1" s="408">
      <c r="A35" s="133" t="inlineStr">
        <is>
          <t>差旅費</t>
        </is>
      </c>
      <c r="B35" s="511" t="n"/>
      <c r="C35" s="512" t="n"/>
      <c r="D35" s="505">
        <f>SUM(E35:G35)</f>
        <v/>
      </c>
      <c r="E35" s="513" t="n"/>
      <c r="F35" s="513" t="n"/>
      <c r="G35" s="514" t="n"/>
      <c r="H35" s="508">
        <f>SUM(I35:K35)</f>
        <v/>
      </c>
      <c r="I35" s="513" t="n"/>
      <c r="J35" s="513" t="n"/>
      <c r="K35" s="515" t="n"/>
      <c r="L35" s="505">
        <f>SUM(M35:O35)</f>
        <v/>
      </c>
      <c r="M35" s="513" t="n"/>
      <c r="N35" s="513" t="n"/>
      <c r="O35" s="514" t="n"/>
      <c r="P35" s="508">
        <f>SUM(Q35:S35)</f>
        <v/>
      </c>
      <c r="Q35" s="513" t="n"/>
      <c r="R35" s="513" t="n"/>
      <c r="S35" s="515" t="n"/>
      <c r="T35" s="505">
        <f>D35+H35+L35+P35</f>
        <v/>
      </c>
      <c r="U35" s="128" t="n"/>
      <c r="V35" s="129" t="n"/>
      <c r="W35" s="119">
        <f>T35-V35</f>
        <v/>
      </c>
      <c r="X35" s="509">
        <f>W35/T35</f>
        <v/>
      </c>
      <c r="Y35" s="516" t="n"/>
    </row>
    <row r="36" ht="14.5" customHeight="1" s="408">
      <c r="A36" s="133" t="inlineStr">
        <is>
          <t>車輛交通費用</t>
        </is>
      </c>
      <c r="B36" s="511" t="n"/>
      <c r="C36" s="512" t="n"/>
      <c r="D36" s="505">
        <f>SUM(E36:G36)</f>
        <v/>
      </c>
      <c r="E36" s="513" t="n"/>
      <c r="F36" s="513" t="n"/>
      <c r="G36" s="514" t="n"/>
      <c r="H36" s="508">
        <f>SUM(I36:K36)</f>
        <v/>
      </c>
      <c r="I36" s="513" t="n"/>
      <c r="J36" s="513" t="n"/>
      <c r="K36" s="515" t="n"/>
      <c r="L36" s="505">
        <f>SUM(M36:O36)</f>
        <v/>
      </c>
      <c r="M36" s="513" t="n"/>
      <c r="N36" s="513" t="n"/>
      <c r="O36" s="514" t="n"/>
      <c r="P36" s="508">
        <f>SUM(Q36:S36)</f>
        <v/>
      </c>
      <c r="Q36" s="513" t="n"/>
      <c r="R36" s="513" t="n"/>
      <c r="S36" s="515" t="n"/>
      <c r="T36" s="505">
        <f>D36+H36+L36+P36</f>
        <v/>
      </c>
      <c r="U36" s="128" t="n"/>
      <c r="V36" s="129" t="n"/>
      <c r="W36" s="119">
        <f>T36-V36</f>
        <v/>
      </c>
      <c r="X36" s="509">
        <f>W36/T36</f>
        <v/>
      </c>
      <c r="Y36" s="516" t="n"/>
    </row>
    <row r="37" ht="14.5" customHeight="1" s="408">
      <c r="A37" s="133" t="inlineStr">
        <is>
          <t>業務招待費</t>
        </is>
      </c>
      <c r="B37" s="511" t="n"/>
      <c r="C37" s="512" t="n"/>
      <c r="D37" s="505">
        <f>SUM(E37:G37)</f>
        <v/>
      </c>
      <c r="E37" s="513" t="n"/>
      <c r="F37" s="513" t="n"/>
      <c r="G37" s="514" t="n"/>
      <c r="H37" s="508">
        <f>SUM(I37:K37)</f>
        <v/>
      </c>
      <c r="I37" s="513" t="n"/>
      <c r="J37" s="513" t="n"/>
      <c r="K37" s="515" t="n"/>
      <c r="L37" s="505">
        <f>SUM(M37:O37)</f>
        <v/>
      </c>
      <c r="M37" s="513" t="n"/>
      <c r="N37" s="513" t="n"/>
      <c r="O37" s="514" t="n"/>
      <c r="P37" s="508">
        <f>SUM(Q37:S37)</f>
        <v/>
      </c>
      <c r="Q37" s="513" t="n"/>
      <c r="R37" s="513" t="n"/>
      <c r="S37" s="515" t="n"/>
      <c r="T37" s="505">
        <f>D37+H37+L37+P37</f>
        <v/>
      </c>
      <c r="U37" s="128" t="n"/>
      <c r="V37" s="129" t="n"/>
      <c r="W37" s="119">
        <f>T37-V37</f>
        <v/>
      </c>
      <c r="X37" s="509">
        <f>W37/T37</f>
        <v/>
      </c>
      <c r="Y37" s="516" t="n"/>
    </row>
    <row r="38" ht="14.5" customHeight="1" s="408">
      <c r="A38" s="133" t="inlineStr">
        <is>
          <t>勞動保護費</t>
        </is>
      </c>
      <c r="B38" s="511" t="n"/>
      <c r="C38" s="512" t="n"/>
      <c r="D38" s="505">
        <f>SUM(E38:G38)</f>
        <v/>
      </c>
      <c r="E38" s="513" t="n"/>
      <c r="F38" s="513" t="n"/>
      <c r="G38" s="514" t="n"/>
      <c r="H38" s="508">
        <f>SUM(I38:K38)</f>
        <v/>
      </c>
      <c r="I38" s="513" t="n"/>
      <c r="J38" s="513" t="n"/>
      <c r="K38" s="515" t="n"/>
      <c r="L38" s="505">
        <f>SUM(M38:O38)</f>
        <v/>
      </c>
      <c r="M38" s="513" t="n"/>
      <c r="N38" s="513" t="n"/>
      <c r="O38" s="514" t="n"/>
      <c r="P38" s="508">
        <f>SUM(Q38:S38)</f>
        <v/>
      </c>
      <c r="Q38" s="513" t="n"/>
      <c r="R38" s="513" t="n"/>
      <c r="S38" s="515" t="n"/>
      <c r="T38" s="505">
        <f>D38+H38+L38+P38</f>
        <v/>
      </c>
      <c r="U38" s="128" t="n"/>
      <c r="V38" s="129" t="n"/>
      <c r="W38" s="119">
        <f>T38-V38</f>
        <v/>
      </c>
      <c r="X38" s="509">
        <f>W38/T38</f>
        <v/>
      </c>
      <c r="Y38" s="516" t="n"/>
    </row>
    <row r="39" ht="14.5" customHeight="1" s="408">
      <c r="A39" s="133" t="inlineStr">
        <is>
          <t>書刊費用</t>
        </is>
      </c>
      <c r="B39" s="511" t="n"/>
      <c r="C39" s="512" t="n"/>
      <c r="D39" s="505">
        <f>SUM(E39:G39)</f>
        <v/>
      </c>
      <c r="E39" s="517" t="n"/>
      <c r="F39" s="517" t="n"/>
      <c r="G39" s="518" t="n"/>
      <c r="H39" s="508">
        <f>SUM(I39:K39)</f>
        <v/>
      </c>
      <c r="I39" s="517" t="n"/>
      <c r="J39" s="517" t="n"/>
      <c r="K39" s="519" t="n"/>
      <c r="L39" s="505">
        <f>SUM(M39:O39)</f>
        <v/>
      </c>
      <c r="M39" s="517" t="n"/>
      <c r="N39" s="517" t="n"/>
      <c r="O39" s="518" t="n"/>
      <c r="P39" s="508">
        <f>SUM(Q39:S39)</f>
        <v/>
      </c>
      <c r="Q39" s="517" t="n"/>
      <c r="R39" s="517" t="n"/>
      <c r="S39" s="519" t="n"/>
      <c r="T39" s="505">
        <f>D39+H39+L39+P39</f>
        <v/>
      </c>
      <c r="U39" s="128" t="n"/>
      <c r="V39" s="128" t="n"/>
      <c r="W39" s="119">
        <f>T39-V39</f>
        <v/>
      </c>
      <c r="X39" s="509">
        <f>W39/T39</f>
        <v/>
      </c>
      <c r="Y39" s="516" t="n"/>
    </row>
    <row r="40" ht="14.5" customHeight="1" s="408">
      <c r="A40" s="133" t="inlineStr">
        <is>
          <t>修理費</t>
        </is>
      </c>
      <c r="B40" s="511" t="n"/>
      <c r="C40" s="512" t="n"/>
      <c r="D40" s="505">
        <f>SUM(E40:G40)</f>
        <v/>
      </c>
      <c r="E40" s="513" t="n"/>
      <c r="F40" s="513" t="n"/>
      <c r="G40" s="514" t="n"/>
      <c r="H40" s="508">
        <f>SUM(I40:K40)</f>
        <v/>
      </c>
      <c r="I40" s="513" t="n"/>
      <c r="J40" s="513" t="n"/>
      <c r="K40" s="515" t="n"/>
      <c r="L40" s="505">
        <f>SUM(M40:O40)</f>
        <v/>
      </c>
      <c r="M40" s="513" t="n"/>
      <c r="N40" s="513" t="n"/>
      <c r="O40" s="514" t="n"/>
      <c r="P40" s="508">
        <f>SUM(Q40:S40)</f>
        <v/>
      </c>
      <c r="Q40" s="513" t="n"/>
      <c r="R40" s="513" t="n"/>
      <c r="S40" s="515" t="n"/>
      <c r="T40" s="505">
        <f>D40+H40+L40+P40</f>
        <v/>
      </c>
      <c r="U40" s="128" t="n"/>
      <c r="V40" s="129" t="n"/>
      <c r="W40" s="119">
        <f>T40-V40</f>
        <v/>
      </c>
      <c r="X40" s="509">
        <f>W40/T40</f>
        <v/>
      </c>
      <c r="Y40" s="516" t="n"/>
    </row>
    <row r="41" ht="14.5" customHeight="1" s="408">
      <c r="A41" s="133" t="inlineStr">
        <is>
          <t>財產保險費</t>
        </is>
      </c>
      <c r="B41" s="511" t="n"/>
      <c r="C41" s="512" t="n"/>
      <c r="D41" s="505">
        <f>SUM(E41:G41)</f>
        <v/>
      </c>
      <c r="E41" s="513" t="n"/>
      <c r="F41" s="513" t="n"/>
      <c r="G41" s="514" t="n"/>
      <c r="H41" s="508">
        <f>SUM(I41:K41)</f>
        <v/>
      </c>
      <c r="I41" s="513" t="n"/>
      <c r="J41" s="513" t="n"/>
      <c r="K41" s="515" t="n"/>
      <c r="L41" s="505">
        <f>SUM(M41:O41)</f>
        <v/>
      </c>
      <c r="M41" s="513" t="n"/>
      <c r="N41" s="513" t="n"/>
      <c r="O41" s="514" t="n"/>
      <c r="P41" s="508">
        <f>SUM(Q41:S41)</f>
        <v/>
      </c>
      <c r="Q41" s="513" t="n"/>
      <c r="R41" s="513" t="n"/>
      <c r="S41" s="515" t="n"/>
      <c r="T41" s="505">
        <f>D41+H41+L41+P41</f>
        <v/>
      </c>
      <c r="U41" s="128" t="n"/>
      <c r="V41" s="129" t="n"/>
      <c r="W41" s="119">
        <f>T41-V41</f>
        <v/>
      </c>
      <c r="X41" s="509">
        <f>W41/T41</f>
        <v/>
      </c>
      <c r="Y41" s="516" t="n"/>
    </row>
    <row r="42" ht="14.5" customHeight="1" s="408">
      <c r="A42" s="133" t="inlineStr">
        <is>
          <t>招聘費用</t>
        </is>
      </c>
      <c r="B42" s="511" t="n"/>
      <c r="C42" s="512" t="n"/>
      <c r="D42" s="505">
        <f>SUM(E42:G42)</f>
        <v/>
      </c>
      <c r="E42" s="513" t="n"/>
      <c r="F42" s="513" t="n"/>
      <c r="G42" s="514" t="n"/>
      <c r="H42" s="508">
        <f>SUM(I42:K42)</f>
        <v/>
      </c>
      <c r="I42" s="513" t="n"/>
      <c r="J42" s="513" t="n"/>
      <c r="K42" s="515" t="n"/>
      <c r="L42" s="505">
        <f>SUM(M42:O42)</f>
        <v/>
      </c>
      <c r="M42" s="513" t="n"/>
      <c r="N42" s="513" t="n"/>
      <c r="O42" s="514" t="n"/>
      <c r="P42" s="508">
        <f>SUM(Q42:S42)</f>
        <v/>
      </c>
      <c r="Q42" s="513" t="n"/>
      <c r="R42" s="513" t="n"/>
      <c r="S42" s="515" t="n"/>
      <c r="T42" s="505">
        <f>D42+H42+L42+P42</f>
        <v/>
      </c>
      <c r="U42" s="128" t="n"/>
      <c r="V42" s="129" t="n"/>
      <c r="W42" s="119">
        <f>T42-V42</f>
        <v/>
      </c>
      <c r="X42" s="509">
        <f>W42/T42</f>
        <v/>
      </c>
      <c r="Y42" s="516" t="n"/>
    </row>
    <row r="43" ht="14.5" customHeight="1" s="408">
      <c r="A43" s="133" t="inlineStr">
        <is>
          <t>管理稅費</t>
        </is>
      </c>
      <c r="B43" s="511" t="n"/>
      <c r="C43" s="512" t="n"/>
      <c r="D43" s="505">
        <f>SUM(E43:G43)</f>
        <v/>
      </c>
      <c r="E43" s="513" t="n"/>
      <c r="F43" s="513" t="n"/>
      <c r="G43" s="514" t="n"/>
      <c r="H43" s="508">
        <f>SUM(I43:K43)</f>
        <v/>
      </c>
      <c r="I43" s="513" t="n"/>
      <c r="J43" s="513" t="n"/>
      <c r="K43" s="515" t="n"/>
      <c r="L43" s="505">
        <f>SUM(M43:O43)</f>
        <v/>
      </c>
      <c r="M43" s="513" t="n"/>
      <c r="N43" s="513" t="n"/>
      <c r="O43" s="514" t="n"/>
      <c r="P43" s="508">
        <f>SUM(Q43:S43)</f>
        <v/>
      </c>
      <c r="Q43" s="513" t="n"/>
      <c r="R43" s="513" t="n"/>
      <c r="S43" s="515" t="n"/>
      <c r="T43" s="505">
        <f>D43+H43+L43+P43</f>
        <v/>
      </c>
      <c r="U43" s="128" t="n"/>
      <c r="V43" s="129" t="n"/>
      <c r="W43" s="119">
        <f>T43-V43</f>
        <v/>
      </c>
      <c r="X43" s="509">
        <f>W43/T43</f>
        <v/>
      </c>
      <c r="Y43" s="516" t="n"/>
    </row>
    <row r="44" ht="14.5" customHeight="1" s="408">
      <c r="A44" s="122" t="inlineStr">
        <is>
          <t>印花稅</t>
        </is>
      </c>
      <c r="B44" s="511" t="n"/>
      <c r="C44" s="512" t="n"/>
      <c r="D44" s="505">
        <f>SUM(E44:G44)</f>
        <v/>
      </c>
      <c r="E44" s="513" t="n"/>
      <c r="F44" s="513" t="n"/>
      <c r="G44" s="514" t="n"/>
      <c r="H44" s="508">
        <f>SUM(I44:K44)</f>
        <v/>
      </c>
      <c r="I44" s="513" t="n"/>
      <c r="J44" s="513" t="n"/>
      <c r="K44" s="515" t="n"/>
      <c r="L44" s="505">
        <f>SUM(M44:O44)</f>
        <v/>
      </c>
      <c r="M44" s="513" t="n"/>
      <c r="N44" s="513" t="n"/>
      <c r="O44" s="514" t="n"/>
      <c r="P44" s="508">
        <f>SUM(Q44:S44)</f>
        <v/>
      </c>
      <c r="Q44" s="513" t="n"/>
      <c r="R44" s="513" t="n"/>
      <c r="S44" s="515" t="n"/>
      <c r="T44" s="505">
        <f>D44+H44+L44+P44</f>
        <v/>
      </c>
      <c r="U44" s="128" t="n"/>
      <c r="V44" s="129" t="n"/>
      <c r="W44" s="119">
        <f>T44-V44</f>
        <v/>
      </c>
      <c r="X44" s="509">
        <f>W44/T44</f>
        <v/>
      </c>
      <c r="Y44" s="516" t="n"/>
    </row>
    <row r="45" ht="14.5" customHeight="1" s="408">
      <c r="A45" s="122" t="inlineStr">
        <is>
          <t>土地使用稅</t>
        </is>
      </c>
      <c r="B45" s="511" t="n"/>
      <c r="C45" s="512" t="n"/>
      <c r="D45" s="505">
        <f>SUM(E45:G45)</f>
        <v/>
      </c>
      <c r="E45" s="513" t="n"/>
      <c r="F45" s="513" t="n"/>
      <c r="G45" s="514" t="n"/>
      <c r="H45" s="508">
        <f>SUM(I45:K45)</f>
        <v/>
      </c>
      <c r="I45" s="513" t="n"/>
      <c r="J45" s="513" t="n"/>
      <c r="K45" s="515" t="n"/>
      <c r="L45" s="505">
        <f>SUM(M45:O45)</f>
        <v/>
      </c>
      <c r="M45" s="513" t="n"/>
      <c r="N45" s="513" t="n"/>
      <c r="O45" s="514" t="n"/>
      <c r="P45" s="508">
        <f>SUM(Q45:S45)</f>
        <v/>
      </c>
      <c r="Q45" s="513" t="n"/>
      <c r="R45" s="513" t="n"/>
      <c r="S45" s="515" t="n"/>
      <c r="T45" s="505">
        <f>D45+H45+L45+P45</f>
        <v/>
      </c>
      <c r="U45" s="128" t="n"/>
      <c r="V45" s="129" t="n"/>
      <c r="W45" s="119">
        <f>T45-V45</f>
        <v/>
      </c>
      <c r="X45" s="509">
        <f>W45/T45</f>
        <v/>
      </c>
      <c r="Y45" s="516" t="n"/>
    </row>
    <row r="46" ht="14.5" customHeight="1" s="408">
      <c r="A46" s="122" t="inlineStr">
        <is>
          <t>房產稅</t>
        </is>
      </c>
      <c r="B46" s="511" t="n"/>
      <c r="C46" s="512" t="n"/>
      <c r="D46" s="505">
        <f>SUM(E46:G46)</f>
        <v/>
      </c>
      <c r="E46" s="517" t="n"/>
      <c r="F46" s="517" t="n"/>
      <c r="G46" s="518" t="n"/>
      <c r="H46" s="508">
        <f>SUM(I46:K46)</f>
        <v/>
      </c>
      <c r="I46" s="517" t="n"/>
      <c r="J46" s="517" t="n"/>
      <c r="K46" s="519" t="n"/>
      <c r="L46" s="505">
        <f>SUM(M46:O46)</f>
        <v/>
      </c>
      <c r="M46" s="517" t="n"/>
      <c r="N46" s="517" t="n"/>
      <c r="O46" s="518" t="n"/>
      <c r="P46" s="508">
        <f>SUM(Q46:S46)</f>
        <v/>
      </c>
      <c r="Q46" s="517" t="n"/>
      <c r="R46" s="517" t="n"/>
      <c r="S46" s="519" t="n"/>
      <c r="T46" s="505">
        <f>D46+H46+L46+P46</f>
        <v/>
      </c>
      <c r="U46" s="128" t="n"/>
      <c r="V46" s="128" t="n"/>
      <c r="W46" s="119">
        <f>T46-V46</f>
        <v/>
      </c>
      <c r="X46" s="509">
        <f>W46/T46</f>
        <v/>
      </c>
      <c r="Y46" s="516" t="n"/>
    </row>
    <row r="47" ht="14.5" customHeight="1" s="408">
      <c r="A47" s="122" t="inlineStr">
        <is>
          <t>車船稅</t>
        </is>
      </c>
      <c r="B47" s="511" t="n"/>
      <c r="C47" s="512" t="n"/>
      <c r="D47" s="505">
        <f>SUM(E47:G47)</f>
        <v/>
      </c>
      <c r="E47" s="513" t="n"/>
      <c r="F47" s="513" t="n"/>
      <c r="G47" s="514" t="n"/>
      <c r="H47" s="508">
        <f>SUM(I47:K47)</f>
        <v/>
      </c>
      <c r="I47" s="513" t="n"/>
      <c r="J47" s="513" t="n"/>
      <c r="K47" s="515" t="n"/>
      <c r="L47" s="505">
        <f>SUM(M47:O47)</f>
        <v/>
      </c>
      <c r="M47" s="513" t="n"/>
      <c r="N47" s="513" t="n"/>
      <c r="O47" s="514" t="n"/>
      <c r="P47" s="508">
        <f>SUM(Q47:S47)</f>
        <v/>
      </c>
      <c r="Q47" s="513" t="n"/>
      <c r="R47" s="513" t="n"/>
      <c r="S47" s="515" t="n"/>
      <c r="T47" s="505">
        <f>D47+H47+L47+P47</f>
        <v/>
      </c>
      <c r="U47" s="128" t="n"/>
      <c r="V47" s="129" t="n"/>
      <c r="W47" s="119">
        <f>T47-V47</f>
        <v/>
      </c>
      <c r="X47" s="509">
        <f>W47/T47</f>
        <v/>
      </c>
      <c r="Y47" s="516" t="n"/>
    </row>
    <row r="48" ht="14.5" customHeight="1" s="408">
      <c r="A48" s="122" t="inlineStr">
        <is>
          <t>契稅</t>
        </is>
      </c>
      <c r="B48" s="511" t="n"/>
      <c r="C48" s="512" t="n"/>
      <c r="D48" s="505">
        <f>SUM(E48:G48)</f>
        <v/>
      </c>
      <c r="E48" s="513" t="n"/>
      <c r="F48" s="513" t="n"/>
      <c r="G48" s="514" t="n"/>
      <c r="H48" s="508">
        <f>SUM(I48:K48)</f>
        <v/>
      </c>
      <c r="I48" s="513" t="n"/>
      <c r="J48" s="513" t="n"/>
      <c r="K48" s="515" t="n"/>
      <c r="L48" s="505">
        <f>SUM(M48:O48)</f>
        <v/>
      </c>
      <c r="M48" s="513" t="n"/>
      <c r="N48" s="513" t="n"/>
      <c r="O48" s="514" t="n"/>
      <c r="P48" s="508">
        <f>SUM(Q48:S48)</f>
        <v/>
      </c>
      <c r="Q48" s="513" t="n"/>
      <c r="R48" s="513" t="n"/>
      <c r="S48" s="515" t="n"/>
      <c r="T48" s="505">
        <f>D48+H48+L48+P48</f>
        <v/>
      </c>
      <c r="U48" s="128" t="n"/>
      <c r="V48" s="129" t="n"/>
      <c r="W48" s="119">
        <f>T48-V48</f>
        <v/>
      </c>
      <c r="X48" s="509">
        <f>W48/T48</f>
        <v/>
      </c>
      <c r="Y48" s="516" t="n"/>
    </row>
    <row r="49" ht="14.5" customHeight="1" s="408">
      <c r="A49" s="122" t="inlineStr">
        <is>
          <t>其他</t>
        </is>
      </c>
      <c r="B49" s="511" t="n"/>
      <c r="C49" s="512" t="n"/>
      <c r="D49" s="505">
        <f>SUM(E49:G49)</f>
        <v/>
      </c>
      <c r="E49" s="513" t="n"/>
      <c r="F49" s="513" t="n"/>
      <c r="G49" s="514" t="n"/>
      <c r="H49" s="508">
        <f>SUM(I49:K49)</f>
        <v/>
      </c>
      <c r="I49" s="513" t="n"/>
      <c r="J49" s="513" t="n"/>
      <c r="K49" s="515" t="n"/>
      <c r="L49" s="505">
        <f>SUM(M49:O49)</f>
        <v/>
      </c>
      <c r="M49" s="513" t="n"/>
      <c r="N49" s="513" t="n"/>
      <c r="O49" s="514" t="n"/>
      <c r="P49" s="508">
        <f>SUM(Q49:S49)</f>
        <v/>
      </c>
      <c r="Q49" s="513" t="n"/>
      <c r="R49" s="513" t="n"/>
      <c r="S49" s="515" t="n"/>
      <c r="T49" s="505">
        <f>D49+H49+L49+P49</f>
        <v/>
      </c>
      <c r="U49" s="128" t="n"/>
      <c r="V49" s="129" t="n"/>
      <c r="W49" s="119">
        <f>T49-V49</f>
        <v/>
      </c>
      <c r="X49" s="509">
        <f>W49/T49</f>
        <v/>
      </c>
      <c r="Y49" s="516" t="n"/>
    </row>
    <row r="50" ht="14.5" customHeight="1" s="408">
      <c r="A50" s="133" t="inlineStr">
        <is>
          <t>仲介費用</t>
        </is>
      </c>
      <c r="B50" s="511" t="n"/>
      <c r="C50" s="512" t="n"/>
      <c r="D50" s="505">
        <f>SUM(E50:G50)</f>
        <v/>
      </c>
      <c r="E50" s="513" t="n"/>
      <c r="F50" s="513" t="n"/>
      <c r="G50" s="514" t="n"/>
      <c r="H50" s="508">
        <f>SUM(I50:K50)</f>
        <v/>
      </c>
      <c r="I50" s="513" t="n"/>
      <c r="J50" s="513" t="n"/>
      <c r="K50" s="515" t="n"/>
      <c r="L50" s="505">
        <f>SUM(M50:O50)</f>
        <v/>
      </c>
      <c r="M50" s="513" t="n"/>
      <c r="N50" s="513" t="n"/>
      <c r="O50" s="514" t="n"/>
      <c r="P50" s="508">
        <f>SUM(Q50:S50)</f>
        <v/>
      </c>
      <c r="Q50" s="513" t="n"/>
      <c r="R50" s="513" t="n"/>
      <c r="S50" s="515" t="n"/>
      <c r="T50" s="505">
        <f>D50+H50+L50+P50</f>
        <v/>
      </c>
      <c r="U50" s="128" t="n"/>
      <c r="V50" s="129" t="n"/>
      <c r="W50" s="119">
        <f>T50-V50</f>
        <v/>
      </c>
      <c r="X50" s="509">
        <f>W50/T50</f>
        <v/>
      </c>
      <c r="Y50" s="516" t="n"/>
    </row>
    <row r="51" ht="14.5" customHeight="1" s="408">
      <c r="A51" s="122" t="inlineStr">
        <is>
          <t>審計費</t>
        </is>
      </c>
      <c r="B51" s="511" t="n"/>
      <c r="C51" s="512" t="n"/>
      <c r="D51" s="505">
        <f>SUM(E51:G51)</f>
        <v/>
      </c>
      <c r="E51" s="513" t="n"/>
      <c r="F51" s="513" t="n"/>
      <c r="G51" s="514" t="n"/>
      <c r="H51" s="508">
        <f>SUM(I51:K51)</f>
        <v/>
      </c>
      <c r="I51" s="513" t="n"/>
      <c r="J51" s="513" t="n"/>
      <c r="K51" s="515" t="n"/>
      <c r="L51" s="505">
        <f>SUM(M51:O51)</f>
        <v/>
      </c>
      <c r="M51" s="513" t="n"/>
      <c r="N51" s="513" t="n"/>
      <c r="O51" s="514" t="n"/>
      <c r="P51" s="508">
        <f>SUM(Q51:S51)</f>
        <v/>
      </c>
      <c r="Q51" s="513" t="n"/>
      <c r="R51" s="513" t="n"/>
      <c r="S51" s="515" t="n"/>
      <c r="T51" s="505">
        <f>D51+H51+L51+P51</f>
        <v/>
      </c>
      <c r="U51" s="128" t="n"/>
      <c r="V51" s="129" t="n"/>
      <c r="W51" s="119">
        <f>T51-V51</f>
        <v/>
      </c>
      <c r="X51" s="509">
        <f>W51/T51</f>
        <v/>
      </c>
      <c r="Y51" s="516" t="n"/>
    </row>
    <row r="52" ht="14.5" customHeight="1" s="408">
      <c r="A52" s="122" t="inlineStr">
        <is>
          <t>綠色費</t>
        </is>
      </c>
      <c r="B52" s="511" t="n"/>
      <c r="C52" s="512" t="n"/>
      <c r="D52" s="505">
        <f>SUM(E52:G52)</f>
        <v/>
      </c>
      <c r="E52" s="513" t="n"/>
      <c r="F52" s="513" t="n"/>
      <c r="G52" s="514" t="n"/>
      <c r="H52" s="508">
        <f>SUM(I52:K52)</f>
        <v/>
      </c>
      <c r="I52" s="513" t="n"/>
      <c r="J52" s="513" t="n"/>
      <c r="K52" s="515" t="n"/>
      <c r="L52" s="505">
        <f>SUM(M52:O52)</f>
        <v/>
      </c>
      <c r="M52" s="513" t="n"/>
      <c r="N52" s="513" t="n"/>
      <c r="O52" s="514" t="n"/>
      <c r="P52" s="508">
        <f>SUM(Q52:S52)</f>
        <v/>
      </c>
      <c r="Q52" s="513" t="n"/>
      <c r="R52" s="513" t="n"/>
      <c r="S52" s="515" t="n"/>
      <c r="T52" s="505">
        <f>D52+H52+L52+P52</f>
        <v/>
      </c>
      <c r="U52" s="128" t="n"/>
      <c r="V52" s="129" t="n"/>
      <c r="W52" s="119">
        <f>T52-V52</f>
        <v/>
      </c>
      <c r="X52" s="509">
        <f>W52/T52</f>
        <v/>
      </c>
      <c r="Y52" s="516" t="n"/>
    </row>
    <row r="53" ht="14.5" customHeight="1" s="408">
      <c r="A53" s="122" t="inlineStr">
        <is>
          <t>諮詢費</t>
        </is>
      </c>
      <c r="B53" s="511" t="n"/>
      <c r="C53" s="512" t="n"/>
      <c r="D53" s="505">
        <f>SUM(E53:G53)</f>
        <v/>
      </c>
      <c r="E53" s="513" t="n"/>
      <c r="F53" s="513" t="n"/>
      <c r="G53" s="514" t="n"/>
      <c r="H53" s="508">
        <f>SUM(I53:K53)</f>
        <v/>
      </c>
      <c r="I53" s="513" t="n"/>
      <c r="J53" s="513" t="n"/>
      <c r="K53" s="515" t="n"/>
      <c r="L53" s="505">
        <f>SUM(M53:O53)</f>
        <v/>
      </c>
      <c r="M53" s="513" t="n"/>
      <c r="N53" s="513" t="n"/>
      <c r="O53" s="514" t="n"/>
      <c r="P53" s="508">
        <f>SUM(Q53:S53)</f>
        <v/>
      </c>
      <c r="Q53" s="513" t="n"/>
      <c r="R53" s="513" t="n"/>
      <c r="S53" s="515" t="n"/>
      <c r="T53" s="505">
        <f>D53+H53+L53+P53</f>
        <v/>
      </c>
      <c r="U53" s="128" t="n"/>
      <c r="V53" s="128" t="n"/>
      <c r="W53" s="119">
        <f>T53-V53</f>
        <v/>
      </c>
      <c r="X53" s="509">
        <f>W53/T53</f>
        <v/>
      </c>
      <c r="Y53" s="516" t="n"/>
    </row>
    <row r="54" ht="14.5" customHeight="1" s="408">
      <c r="A54" s="122" t="inlineStr">
        <is>
          <t>驗資費</t>
        </is>
      </c>
      <c r="B54" s="511" t="n"/>
      <c r="C54" s="512" t="n"/>
      <c r="D54" s="505">
        <f>SUM(E54:G54)</f>
        <v/>
      </c>
      <c r="E54" s="513" t="n"/>
      <c r="F54" s="513" t="n"/>
      <c r="G54" s="514" t="n"/>
      <c r="H54" s="508">
        <f>SUM(I54:K54)</f>
        <v/>
      </c>
      <c r="I54" s="513" t="n"/>
      <c r="J54" s="513" t="n"/>
      <c r="K54" s="515" t="n"/>
      <c r="L54" s="505">
        <f>SUM(M54:O54)</f>
        <v/>
      </c>
      <c r="M54" s="513" t="n"/>
      <c r="N54" s="513" t="n"/>
      <c r="O54" s="514" t="n"/>
      <c r="P54" s="508">
        <f>SUM(Q54:S54)</f>
        <v/>
      </c>
      <c r="Q54" s="513" t="n"/>
      <c r="R54" s="513" t="n"/>
      <c r="S54" s="515" t="n"/>
      <c r="T54" s="505">
        <f>D54+H54+L54+P54</f>
        <v/>
      </c>
      <c r="U54" s="128" t="n"/>
      <c r="V54" s="129" t="n"/>
      <c r="W54" s="119">
        <f>T54-V54</f>
        <v/>
      </c>
      <c r="X54" s="509">
        <f>W54/T54</f>
        <v/>
      </c>
      <c r="Y54" s="516" t="n"/>
    </row>
    <row r="55" ht="14.5" customHeight="1" s="408">
      <c r="A55" s="122" t="inlineStr">
        <is>
          <t>評估費</t>
        </is>
      </c>
      <c r="B55" s="511" t="n"/>
      <c r="C55" s="512" t="n"/>
      <c r="D55" s="505">
        <f>SUM(E55:G55)</f>
        <v/>
      </c>
      <c r="E55" s="513" t="n"/>
      <c r="F55" s="513" t="n"/>
      <c r="G55" s="514" t="n"/>
      <c r="H55" s="508">
        <f>SUM(I55:K55)</f>
        <v/>
      </c>
      <c r="I55" s="513" t="n"/>
      <c r="J55" s="513" t="n"/>
      <c r="K55" s="515" t="n"/>
      <c r="L55" s="505">
        <f>SUM(M55:O55)</f>
        <v/>
      </c>
      <c r="M55" s="513" t="n"/>
      <c r="N55" s="513" t="n"/>
      <c r="O55" s="514" t="n"/>
      <c r="P55" s="508">
        <f>SUM(Q55:S55)</f>
        <v/>
      </c>
      <c r="Q55" s="513" t="n"/>
      <c r="R55" s="513" t="n"/>
      <c r="S55" s="515" t="n"/>
      <c r="T55" s="505">
        <f>D55+H55+L55+P55</f>
        <v/>
      </c>
      <c r="U55" s="128" t="n"/>
      <c r="V55" s="129" t="n"/>
      <c r="W55" s="119">
        <f>T55-V55</f>
        <v/>
      </c>
      <c r="X55" s="509">
        <f>W55/T55</f>
        <v/>
      </c>
      <c r="Y55" s="516" t="n"/>
    </row>
    <row r="56" ht="14.5" customHeight="1" s="408">
      <c r="A56" s="122" t="inlineStr">
        <is>
          <t>會員費</t>
        </is>
      </c>
      <c r="B56" s="511" t="n"/>
      <c r="C56" s="512" t="n"/>
      <c r="D56" s="505">
        <f>SUM(E56:G56)</f>
        <v/>
      </c>
      <c r="E56" s="513" t="n"/>
      <c r="F56" s="513" t="n"/>
      <c r="G56" s="514" t="n"/>
      <c r="H56" s="508">
        <f>SUM(I56:K56)</f>
        <v/>
      </c>
      <c r="I56" s="513" t="n"/>
      <c r="J56" s="513" t="n"/>
      <c r="K56" s="515" t="n"/>
      <c r="L56" s="505">
        <f>SUM(M56:O56)</f>
        <v/>
      </c>
      <c r="M56" s="513" t="n"/>
      <c r="N56" s="513" t="n"/>
      <c r="O56" s="514" t="n"/>
      <c r="P56" s="508">
        <f>SUM(Q56:S56)</f>
        <v/>
      </c>
      <c r="Q56" s="513" t="n"/>
      <c r="R56" s="513" t="n"/>
      <c r="S56" s="515" t="n"/>
      <c r="T56" s="505">
        <f>D56+H56+L56+P56</f>
        <v/>
      </c>
      <c r="U56" s="128" t="n"/>
      <c r="V56" s="129" t="n"/>
      <c r="W56" s="119">
        <f>T56-V56</f>
        <v/>
      </c>
      <c r="X56" s="509">
        <f>W56/T56</f>
        <v/>
      </c>
      <c r="Y56" s="516" t="n"/>
    </row>
    <row r="57" ht="14.5" customHeight="1" s="408">
      <c r="A57" s="122" t="inlineStr">
        <is>
          <t>其他</t>
        </is>
      </c>
      <c r="B57" s="511" t="n"/>
      <c r="C57" s="512" t="n"/>
      <c r="D57" s="505">
        <f>SUM(E57:G57)</f>
        <v/>
      </c>
      <c r="E57" s="513" t="n"/>
      <c r="F57" s="513" t="n"/>
      <c r="G57" s="514" t="n"/>
      <c r="H57" s="508">
        <f>SUM(I57:K57)</f>
        <v/>
      </c>
      <c r="I57" s="513" t="n"/>
      <c r="J57" s="513" t="n"/>
      <c r="K57" s="515" t="n"/>
      <c r="L57" s="505">
        <f>SUM(M57:O57)</f>
        <v/>
      </c>
      <c r="M57" s="513" t="n"/>
      <c r="N57" s="513" t="n"/>
      <c r="O57" s="514" t="n"/>
      <c r="P57" s="508">
        <f>SUM(Q57:S57)</f>
        <v/>
      </c>
      <c r="Q57" s="513" t="n"/>
      <c r="R57" s="513" t="n"/>
      <c r="S57" s="515" t="n"/>
      <c r="T57" s="505">
        <f>D57+H57+L57+P57</f>
        <v/>
      </c>
      <c r="U57" s="128" t="n"/>
      <c r="V57" s="129" t="n"/>
      <c r="W57" s="119">
        <f>T57-V57</f>
        <v/>
      </c>
      <c r="X57" s="509">
        <f>W57/T57</f>
        <v/>
      </c>
      <c r="Y57" s="516" t="n"/>
    </row>
    <row r="58" ht="14.5" customHeight="1" s="408">
      <c r="A58" s="133" t="inlineStr">
        <is>
          <t>環境費</t>
        </is>
      </c>
      <c r="B58" s="511" t="n"/>
      <c r="C58" s="512" t="n"/>
      <c r="D58" s="505">
        <f>SUM(E58:G58)</f>
        <v/>
      </c>
      <c r="E58" s="513" t="n"/>
      <c r="F58" s="513" t="n"/>
      <c r="G58" s="514" t="n"/>
      <c r="H58" s="508">
        <f>SUM(I58:K58)</f>
        <v/>
      </c>
      <c r="I58" s="513" t="n"/>
      <c r="J58" s="513" t="n"/>
      <c r="K58" s="515" t="n"/>
      <c r="L58" s="505">
        <f>SUM(M58:O58)</f>
        <v/>
      </c>
      <c r="M58" s="513" t="n"/>
      <c r="N58" s="513" t="n"/>
      <c r="O58" s="514" t="n"/>
      <c r="P58" s="508">
        <f>SUM(Q58:S58)</f>
        <v/>
      </c>
      <c r="Q58" s="513" t="n"/>
      <c r="R58" s="513" t="n"/>
      <c r="S58" s="515" t="n"/>
      <c r="T58" s="505">
        <f>D58+H58+L58+P58</f>
        <v/>
      </c>
      <c r="U58" s="128" t="n"/>
      <c r="V58" s="129" t="n"/>
      <c r="W58" s="119">
        <f>T58-V58</f>
        <v/>
      </c>
      <c r="X58" s="509">
        <f>W58/T58</f>
        <v/>
      </c>
      <c r="Y58" s="516" t="n"/>
    </row>
    <row r="59" ht="14.5" customHeight="1" s="408">
      <c r="A59" s="122" t="inlineStr">
        <is>
          <t>清潔費用</t>
        </is>
      </c>
      <c r="B59" s="511" t="n"/>
      <c r="C59" s="512" t="n"/>
      <c r="D59" s="505">
        <f>SUM(E59:G59)</f>
        <v/>
      </c>
      <c r="E59" s="513" t="n"/>
      <c r="F59" s="513" t="n"/>
      <c r="G59" s="514" t="n"/>
      <c r="H59" s="508">
        <f>SUM(I59:K59)</f>
        <v/>
      </c>
      <c r="I59" s="513" t="n"/>
      <c r="J59" s="513" t="n"/>
      <c r="K59" s="515" t="n"/>
      <c r="L59" s="505">
        <f>SUM(M59:O59)</f>
        <v/>
      </c>
      <c r="M59" s="513" t="n"/>
      <c r="N59" s="513" t="n"/>
      <c r="O59" s="514" t="n"/>
      <c r="P59" s="508">
        <f>SUM(Q59:S59)</f>
        <v/>
      </c>
      <c r="Q59" s="513" t="n"/>
      <c r="R59" s="513" t="n"/>
      <c r="S59" s="515" t="n"/>
      <c r="T59" s="505">
        <f>D59+H59+L59+P59</f>
        <v/>
      </c>
      <c r="U59" s="128" t="n"/>
      <c r="V59" s="129" t="n"/>
      <c r="W59" s="119">
        <f>T59-V59</f>
        <v/>
      </c>
      <c r="X59" s="509">
        <f>W59/T59</f>
        <v/>
      </c>
      <c r="Y59" s="516" t="n"/>
    </row>
    <row r="60" ht="14.5" customHeight="1" s="408">
      <c r="A60" s="122" t="inlineStr">
        <is>
          <t>綠化費用</t>
        </is>
      </c>
      <c r="B60" s="511" t="n"/>
      <c r="C60" s="512" t="n"/>
      <c r="D60" s="505">
        <f>SUM(E60:G60)</f>
        <v/>
      </c>
      <c r="E60" s="513" t="n"/>
      <c r="F60" s="513" t="n"/>
      <c r="G60" s="514" t="n"/>
      <c r="H60" s="508">
        <f>SUM(I60:K60)</f>
        <v/>
      </c>
      <c r="I60" s="513" t="n"/>
      <c r="J60" s="513" t="n"/>
      <c r="K60" s="515" t="n"/>
      <c r="L60" s="505">
        <f>SUM(M60:O60)</f>
        <v/>
      </c>
      <c r="M60" s="513" t="n"/>
      <c r="N60" s="513" t="n"/>
      <c r="O60" s="514" t="n"/>
      <c r="P60" s="508">
        <f>SUM(Q60:S60)</f>
        <v/>
      </c>
      <c r="Q60" s="513" t="n"/>
      <c r="R60" s="513" t="n"/>
      <c r="S60" s="515" t="n"/>
      <c r="T60" s="505">
        <f>D60+H60+L60+P60</f>
        <v/>
      </c>
      <c r="U60" s="128" t="n"/>
      <c r="V60" s="129" t="n"/>
      <c r="W60" s="119">
        <f>T60-V60</f>
        <v/>
      </c>
      <c r="X60" s="509">
        <f>W60/T60</f>
        <v/>
      </c>
      <c r="Y60" s="516" t="n"/>
    </row>
    <row r="61" ht="14.5" customHeight="1" s="408">
      <c r="A61" s="122" t="inlineStr">
        <is>
          <t>消殺費用</t>
        </is>
      </c>
      <c r="B61" s="511" t="n"/>
      <c r="C61" s="512" t="n"/>
      <c r="D61" s="505">
        <f>SUM(E61:G61)</f>
        <v/>
      </c>
      <c r="E61" s="513" t="n"/>
      <c r="F61" s="513" t="n"/>
      <c r="G61" s="514" t="n"/>
      <c r="H61" s="508">
        <f>SUM(I61:K61)</f>
        <v/>
      </c>
      <c r="I61" s="513" t="n"/>
      <c r="J61" s="513" t="n"/>
      <c r="K61" s="515" t="n"/>
      <c r="L61" s="505">
        <f>SUM(M61:O61)</f>
        <v/>
      </c>
      <c r="M61" s="513" t="n"/>
      <c r="N61" s="513" t="n"/>
      <c r="O61" s="514" t="n"/>
      <c r="P61" s="508">
        <f>SUM(Q61:S61)</f>
        <v/>
      </c>
      <c r="Q61" s="513" t="n"/>
      <c r="R61" s="513" t="n"/>
      <c r="S61" s="515" t="n"/>
      <c r="T61" s="505">
        <f>D61+H61+L61+P61</f>
        <v/>
      </c>
      <c r="U61" s="128" t="n"/>
      <c r="V61" s="129" t="n"/>
      <c r="W61" s="119">
        <f>T61-V61</f>
        <v/>
      </c>
      <c r="X61" s="509">
        <f>W61/T61</f>
        <v/>
      </c>
      <c r="Y61" s="516" t="n"/>
    </row>
    <row r="62" ht="14.5" customHeight="1" s="408">
      <c r="A62" s="122" t="inlineStr">
        <is>
          <t>節日佈置</t>
        </is>
      </c>
      <c r="B62" s="511" t="n"/>
      <c r="C62" s="512" t="n"/>
      <c r="D62" s="505">
        <f>SUM(E62:G62)</f>
        <v/>
      </c>
      <c r="E62" s="513" t="n"/>
      <c r="F62" s="513" t="n"/>
      <c r="G62" s="514" t="n"/>
      <c r="H62" s="508">
        <f>SUM(I62:K62)</f>
        <v/>
      </c>
      <c r="I62" s="513" t="n"/>
      <c r="J62" s="513" t="n"/>
      <c r="K62" s="515" t="n"/>
      <c r="L62" s="505">
        <f>SUM(M62:O62)</f>
        <v/>
      </c>
      <c r="M62" s="513" t="n"/>
      <c r="N62" s="513" t="n"/>
      <c r="O62" s="514" t="n"/>
      <c r="P62" s="508">
        <f>SUM(Q62:S62)</f>
        <v/>
      </c>
      <c r="Q62" s="513" t="n"/>
      <c r="R62" s="513" t="n"/>
      <c r="S62" s="515" t="n"/>
      <c r="T62" s="505">
        <f>D62+H62+L62+P62</f>
        <v/>
      </c>
      <c r="U62" s="128" t="n"/>
      <c r="V62" s="129" t="n"/>
      <c r="W62" s="119">
        <f>T62-V62</f>
        <v/>
      </c>
      <c r="X62" s="509">
        <f>W62/T62</f>
        <v/>
      </c>
      <c r="Y62" s="516" t="n"/>
    </row>
    <row r="63" ht="14.5" customHeight="1" s="408">
      <c r="A63" s="122" t="inlineStr">
        <is>
          <t>物業管理費</t>
        </is>
      </c>
      <c r="B63" s="511" t="n"/>
      <c r="C63" s="512" t="n"/>
      <c r="D63" s="505">
        <f>SUM(E63:G63)</f>
        <v/>
      </c>
      <c r="E63" s="513" t="n"/>
      <c r="F63" s="513" t="n"/>
      <c r="G63" s="514" t="n"/>
      <c r="H63" s="508">
        <f>SUM(I63:K63)</f>
        <v/>
      </c>
      <c r="I63" s="513" t="n"/>
      <c r="J63" s="513" t="n"/>
      <c r="K63" s="515" t="n"/>
      <c r="L63" s="505">
        <f>SUM(M63:O63)</f>
        <v/>
      </c>
      <c r="M63" s="513" t="n"/>
      <c r="N63" s="513" t="n"/>
      <c r="O63" s="514" t="n"/>
      <c r="P63" s="508">
        <f>SUM(Q63:S63)</f>
        <v/>
      </c>
      <c r="Q63" s="513" t="n"/>
      <c r="R63" s="513" t="n"/>
      <c r="S63" s="515" t="n"/>
      <c r="T63" s="505">
        <f>D63+H63+L63+P63</f>
        <v/>
      </c>
      <c r="U63" s="128" t="n"/>
      <c r="V63" s="129" t="n"/>
      <c r="W63" s="119">
        <f>T63-V63</f>
        <v/>
      </c>
      <c r="X63" s="509">
        <f>W63/T63</f>
        <v/>
      </c>
      <c r="Y63" s="516" t="n"/>
    </row>
    <row r="64" ht="14.5" customHeight="1" s="408">
      <c r="A64" s="122" t="inlineStr">
        <is>
          <t>其他</t>
        </is>
      </c>
      <c r="B64" s="511" t="n"/>
      <c r="C64" s="512" t="n"/>
      <c r="D64" s="505">
        <f>SUM(E64:G64)</f>
        <v/>
      </c>
      <c r="E64" s="513" t="n"/>
      <c r="F64" s="513" t="n"/>
      <c r="G64" s="514" t="n"/>
      <c r="H64" s="508">
        <f>SUM(I64:K64)</f>
        <v/>
      </c>
      <c r="I64" s="513" t="n"/>
      <c r="J64" s="513" t="n"/>
      <c r="K64" s="515" t="n"/>
      <c r="L64" s="505">
        <f>SUM(M64:O64)</f>
        <v/>
      </c>
      <c r="M64" s="513" t="n"/>
      <c r="N64" s="513" t="n"/>
      <c r="O64" s="514" t="n"/>
      <c r="P64" s="508">
        <f>SUM(Q64:S64)</f>
        <v/>
      </c>
      <c r="Q64" s="513" t="n"/>
      <c r="R64" s="513" t="n"/>
      <c r="S64" s="515" t="n"/>
      <c r="T64" s="505">
        <f>D64+H64+L64+P64</f>
        <v/>
      </c>
      <c r="U64" s="128" t="n"/>
      <c r="V64" s="129" t="n"/>
      <c r="W64" s="119">
        <f>T64-V64</f>
        <v/>
      </c>
      <c r="X64" s="509">
        <f>W64/T64</f>
        <v/>
      </c>
      <c r="Y64" s="516" t="n"/>
    </row>
    <row r="65" ht="14.5" customHeight="1" s="408">
      <c r="A65" s="133" t="inlineStr">
        <is>
          <t>租金</t>
        </is>
      </c>
      <c r="B65" s="511" t="n"/>
      <c r="C65" s="512" t="n"/>
      <c r="D65" s="505">
        <f>SUM(E65:G65)</f>
        <v/>
      </c>
      <c r="E65" s="513" t="n"/>
      <c r="F65" s="513" t="n"/>
      <c r="G65" s="514" t="n"/>
      <c r="H65" s="508">
        <f>SUM(I65:K65)</f>
        <v/>
      </c>
      <c r="I65" s="513" t="n"/>
      <c r="J65" s="513" t="n"/>
      <c r="K65" s="515" t="n"/>
      <c r="L65" s="505">
        <f>SUM(M65:O65)</f>
        <v/>
      </c>
      <c r="M65" s="513" t="n"/>
      <c r="N65" s="513" t="n"/>
      <c r="O65" s="514" t="n"/>
      <c r="P65" s="508">
        <f>SUM(Q65:S65)</f>
        <v/>
      </c>
      <c r="Q65" s="513" t="n"/>
      <c r="R65" s="513" t="n"/>
      <c r="S65" s="515" t="n"/>
      <c r="T65" s="505">
        <f>D65+H65+L65+P65</f>
        <v/>
      </c>
      <c r="U65" s="128" t="n"/>
      <c r="V65" s="129" t="n"/>
      <c r="W65" s="119">
        <f>T65-V65</f>
        <v/>
      </c>
      <c r="X65" s="509">
        <f>W65/T65</f>
        <v/>
      </c>
      <c r="Y65" s="516" t="n"/>
    </row>
    <row r="66" ht="14.5" customHeight="1" s="408">
      <c r="A66" s="133" t="inlineStr">
        <is>
          <t>總部管理費</t>
        </is>
      </c>
      <c r="B66" s="511" t="n"/>
      <c r="C66" s="512" t="n"/>
      <c r="D66" s="505">
        <f>SUM(E66:G66)</f>
        <v/>
      </c>
      <c r="E66" s="513" t="n"/>
      <c r="F66" s="513" t="n"/>
      <c r="G66" s="514" t="n"/>
      <c r="H66" s="508">
        <f>SUM(I66:K66)</f>
        <v/>
      </c>
      <c r="I66" s="513" t="n"/>
      <c r="J66" s="513" t="n"/>
      <c r="K66" s="515" t="n"/>
      <c r="L66" s="505">
        <f>SUM(M66:O66)</f>
        <v/>
      </c>
      <c r="M66" s="513" t="n"/>
      <c r="N66" s="513" t="n"/>
      <c r="O66" s="514" t="n"/>
      <c r="P66" s="508">
        <f>SUM(Q66:S66)</f>
        <v/>
      </c>
      <c r="Q66" s="513" t="n"/>
      <c r="R66" s="513" t="n"/>
      <c r="S66" s="515" t="n"/>
      <c r="T66" s="505">
        <f>D66+H66+L66+P66</f>
        <v/>
      </c>
      <c r="U66" s="128" t="n"/>
      <c r="V66" s="129" t="n"/>
      <c r="W66" s="119">
        <f>T66-V66</f>
        <v/>
      </c>
      <c r="X66" s="509">
        <f>W66/T66</f>
        <v/>
      </c>
      <c r="Y66" s="516" t="n"/>
    </row>
    <row r="67" ht="14.5" customHeight="1" s="408">
      <c r="A67" s="133" t="inlineStr">
        <is>
          <t>會議費用</t>
        </is>
      </c>
      <c r="B67" s="511" t="n"/>
      <c r="C67" s="512" t="n"/>
      <c r="D67" s="505">
        <f>SUM(E67:G67)</f>
        <v/>
      </c>
      <c r="E67" s="513" t="n"/>
      <c r="F67" s="513" t="n"/>
      <c r="G67" s="514" t="n"/>
      <c r="H67" s="508">
        <f>SUM(I67:K67)</f>
        <v/>
      </c>
      <c r="I67" s="513" t="n"/>
      <c r="J67" s="513" t="n"/>
      <c r="K67" s="515" t="n"/>
      <c r="L67" s="505">
        <f>SUM(M67:O67)</f>
        <v/>
      </c>
      <c r="M67" s="513" t="n"/>
      <c r="N67" s="513" t="n"/>
      <c r="O67" s="514" t="n"/>
      <c r="P67" s="508">
        <f>SUM(Q67:S67)</f>
        <v/>
      </c>
      <c r="Q67" s="513" t="n"/>
      <c r="R67" s="513" t="n"/>
      <c r="S67" s="515" t="n"/>
      <c r="T67" s="505">
        <f>D67+H67+L67+P67</f>
        <v/>
      </c>
      <c r="U67" s="128" t="n"/>
      <c r="V67" s="129" t="n"/>
      <c r="W67" s="119">
        <f>T67-V67</f>
        <v/>
      </c>
      <c r="X67" s="509">
        <f>W67/T67</f>
        <v/>
      </c>
      <c r="Y67" s="516" t="n"/>
    </row>
    <row r="68" ht="14.5" customHeight="1" s="408">
      <c r="A68" s="133" t="inlineStr">
        <is>
          <t>董事會費</t>
        </is>
      </c>
      <c r="B68" s="511" t="n"/>
      <c r="C68" s="512" t="n"/>
      <c r="D68" s="505">
        <f>SUM(E68:G68)</f>
        <v/>
      </c>
      <c r="E68" s="513" t="n"/>
      <c r="F68" s="513" t="n"/>
      <c r="G68" s="514" t="n"/>
      <c r="H68" s="508">
        <f>SUM(I68:K68)</f>
        <v/>
      </c>
      <c r="I68" s="513" t="n"/>
      <c r="J68" s="513" t="n"/>
      <c r="K68" s="515" t="n"/>
      <c r="L68" s="505">
        <f>SUM(M68:O68)</f>
        <v/>
      </c>
      <c r="M68" s="513" t="n"/>
      <c r="N68" s="513" t="n"/>
      <c r="O68" s="514" t="n"/>
      <c r="P68" s="508">
        <f>SUM(Q68:S68)</f>
        <v/>
      </c>
      <c r="Q68" s="513" t="n"/>
      <c r="R68" s="513" t="n"/>
      <c r="S68" s="515" t="n"/>
      <c r="T68" s="505">
        <f>D68+H68+L68+P68</f>
        <v/>
      </c>
      <c r="U68" s="128" t="n"/>
      <c r="V68" s="129" t="n"/>
      <c r="W68" s="119">
        <f>T68-V68</f>
        <v/>
      </c>
      <c r="X68" s="509">
        <f>W68/T68</f>
        <v/>
      </c>
      <c r="Y68" s="516" t="n"/>
    </row>
    <row r="69" ht="14.5" customHeight="1" s="408">
      <c r="A69" s="133" t="inlineStr">
        <is>
          <t>黨團活動費用</t>
        </is>
      </c>
      <c r="B69" s="511" t="n"/>
      <c r="C69" s="512" t="n"/>
      <c r="D69" s="505">
        <f>SUM(E69:G69)</f>
        <v/>
      </c>
      <c r="E69" s="513" t="n"/>
      <c r="F69" s="513" t="n"/>
      <c r="G69" s="514" t="n"/>
      <c r="H69" s="508">
        <f>SUM(I69:K69)</f>
        <v/>
      </c>
      <c r="I69" s="513" t="n"/>
      <c r="J69" s="513" t="n"/>
      <c r="K69" s="515" t="n"/>
      <c r="L69" s="505">
        <f>SUM(M69:O69)</f>
        <v/>
      </c>
      <c r="M69" s="513" t="n"/>
      <c r="N69" s="513" t="n"/>
      <c r="O69" s="514" t="n"/>
      <c r="P69" s="508">
        <f>SUM(Q69:S69)</f>
        <v/>
      </c>
      <c r="Q69" s="513" t="n"/>
      <c r="R69" s="513" t="n"/>
      <c r="S69" s="515" t="n"/>
      <c r="T69" s="505">
        <f>D69+H69+L69+P69</f>
        <v/>
      </c>
      <c r="U69" s="128" t="n"/>
      <c r="V69" s="129" t="n"/>
      <c r="W69" s="119">
        <f>T69-V69</f>
        <v/>
      </c>
      <c r="X69" s="509">
        <f>W69/T69</f>
        <v/>
      </c>
      <c r="Y69" s="516" t="n"/>
    </row>
    <row r="70" ht="14.5" customHeight="1" s="408">
      <c r="A70" s="133" t="inlineStr">
        <is>
          <t>品牌管理費</t>
        </is>
      </c>
      <c r="B70" s="511" t="n"/>
      <c r="C70" s="512" t="n"/>
      <c r="D70" s="505">
        <f>SUM(E70:G70)</f>
        <v/>
      </c>
      <c r="E70" s="513" t="n"/>
      <c r="F70" s="513" t="n"/>
      <c r="G70" s="514" t="n"/>
      <c r="H70" s="508">
        <f>SUM(I70:K70)</f>
        <v/>
      </c>
      <c r="I70" s="513" t="n"/>
      <c r="J70" s="513" t="n"/>
      <c r="K70" s="515" t="n"/>
      <c r="L70" s="505">
        <f>SUM(M70:O70)</f>
        <v/>
      </c>
      <c r="M70" s="513" t="n"/>
      <c r="N70" s="513" t="n"/>
      <c r="O70" s="514" t="n"/>
      <c r="P70" s="508">
        <f>SUM(Q70:S70)</f>
        <v/>
      </c>
      <c r="Q70" s="513" t="n"/>
      <c r="R70" s="513" t="n"/>
      <c r="S70" s="515" t="n"/>
      <c r="T70" s="505">
        <f>D70+H70+L70+P70</f>
        <v/>
      </c>
      <c r="U70" s="128" t="n"/>
      <c r="V70" s="129" t="n"/>
      <c r="W70" s="119">
        <f>T70-V70</f>
        <v/>
      </c>
      <c r="X70" s="509">
        <f>W70/T70</f>
        <v/>
      </c>
      <c r="Y70" s="516" t="n"/>
    </row>
    <row r="71" ht="14.5" customHeight="1" s="408">
      <c r="A71" s="133" t="inlineStr">
        <is>
          <t>捐贈費</t>
        </is>
      </c>
      <c r="B71" s="511" t="n"/>
      <c r="C71" s="512" t="n"/>
      <c r="D71" s="505">
        <f>SUM(E71:G71)</f>
        <v/>
      </c>
      <c r="E71" s="513" t="n"/>
      <c r="F71" s="513" t="n"/>
      <c r="G71" s="514" t="n"/>
      <c r="H71" s="508">
        <f>SUM(I71:K71)</f>
        <v/>
      </c>
      <c r="I71" s="513" t="n"/>
      <c r="J71" s="513" t="n"/>
      <c r="K71" s="515" t="n"/>
      <c r="L71" s="505">
        <f>SUM(M71:O71)</f>
        <v/>
      </c>
      <c r="M71" s="513" t="n"/>
      <c r="N71" s="513" t="n"/>
      <c r="O71" s="514" t="n"/>
      <c r="P71" s="508">
        <f>SUM(Q71:S71)</f>
        <v/>
      </c>
      <c r="Q71" s="513" t="n"/>
      <c r="R71" s="513" t="n"/>
      <c r="S71" s="515" t="n"/>
      <c r="T71" s="505">
        <f>D71+H71+L71+P71</f>
        <v/>
      </c>
      <c r="U71" s="128" t="n"/>
      <c r="V71" s="129" t="n"/>
      <c r="W71" s="119">
        <f>T71-V71</f>
        <v/>
      </c>
      <c r="X71" s="509">
        <f>W71/T71</f>
        <v/>
      </c>
      <c r="Y71" s="516" t="n"/>
    </row>
    <row r="72" ht="14.5" customHeight="1" s="408">
      <c r="A72" s="133" t="inlineStr">
        <is>
          <t>專項費用</t>
        </is>
      </c>
      <c r="B72" s="511" t="n"/>
      <c r="C72" s="512" t="n"/>
      <c r="D72" s="505">
        <f>SUM(E72:G72)</f>
        <v/>
      </c>
      <c r="E72" s="513" t="n"/>
      <c r="F72" s="513" t="n"/>
      <c r="G72" s="514" t="n"/>
      <c r="H72" s="508">
        <f>SUM(I72:K72)</f>
        <v/>
      </c>
      <c r="I72" s="513" t="n"/>
      <c r="J72" s="513" t="n"/>
      <c r="K72" s="515" t="n"/>
      <c r="L72" s="505">
        <f>SUM(M72:O72)</f>
        <v/>
      </c>
      <c r="M72" s="513" t="n"/>
      <c r="N72" s="513" t="n"/>
      <c r="O72" s="514" t="n"/>
      <c r="P72" s="508">
        <f>SUM(Q72:S72)</f>
        <v/>
      </c>
      <c r="Q72" s="513" t="n"/>
      <c r="R72" s="513" t="n"/>
      <c r="S72" s="515" t="n"/>
      <c r="T72" s="505">
        <f>D72+H72+L72+P72</f>
        <v/>
      </c>
      <c r="U72" s="128" t="n"/>
      <c r="V72" s="129" t="n"/>
      <c r="W72" s="119">
        <f>T72-V72</f>
        <v/>
      </c>
      <c r="X72" s="509">
        <f>W72/T72</f>
        <v/>
      </c>
      <c r="Y72" s="516" t="n"/>
    </row>
    <row r="73" ht="14.5" customHeight="1" s="408">
      <c r="A73" s="133" t="inlineStr">
        <is>
          <t>其他</t>
        </is>
      </c>
      <c r="B73" s="520" t="n"/>
      <c r="C73" s="512" t="n"/>
      <c r="D73" s="505">
        <f>SUM(E73:G73)</f>
        <v/>
      </c>
      <c r="E73" s="513" t="n"/>
      <c r="F73" s="513" t="n"/>
      <c r="G73" s="514" t="n"/>
      <c r="H73" s="508">
        <f>SUM(I73:K73)</f>
        <v/>
      </c>
      <c r="I73" s="513" t="n"/>
      <c r="J73" s="513" t="n"/>
      <c r="K73" s="515" t="n"/>
      <c r="L73" s="505">
        <f>SUM(M73:O73)</f>
        <v/>
      </c>
      <c r="M73" s="513" t="n"/>
      <c r="N73" s="513" t="n"/>
      <c r="O73" s="514" t="n"/>
      <c r="P73" s="508">
        <f>SUM(Q73:S73)</f>
        <v/>
      </c>
      <c r="Q73" s="513" t="n"/>
      <c r="R73" s="513" t="n"/>
      <c r="S73" s="515" t="n"/>
      <c r="T73" s="505">
        <f>D73+H73+L73+P73</f>
        <v/>
      </c>
      <c r="U73" s="128" t="n"/>
      <c r="V73" s="138" t="n"/>
      <c r="W73" s="119">
        <f>T73-V73</f>
        <v/>
      </c>
      <c r="X73" s="509">
        <f>W73/T73</f>
        <v/>
      </c>
      <c r="Y73" s="516" t="n"/>
    </row>
    <row r="74" ht="14.5" customHeight="1" s="408">
      <c r="A74" s="133" t="inlineStr">
        <is>
          <t>非現金支出專案</t>
        </is>
      </c>
      <c r="B74" s="521" t="n"/>
      <c r="C74" s="512" t="n"/>
      <c r="D74" s="505">
        <f>SUM(E74:G74)</f>
        <v/>
      </c>
      <c r="E74" s="513" t="n"/>
      <c r="F74" s="513" t="n"/>
      <c r="G74" s="514" t="n"/>
      <c r="H74" s="508">
        <f>SUM(I74:K74)</f>
        <v/>
      </c>
      <c r="I74" s="513" t="n"/>
      <c r="J74" s="513" t="n"/>
      <c r="K74" s="515" t="n"/>
      <c r="L74" s="505">
        <f>SUM(M74:O74)</f>
        <v/>
      </c>
      <c r="M74" s="513" t="n"/>
      <c r="N74" s="513" t="n"/>
      <c r="O74" s="514" t="n"/>
      <c r="P74" s="508">
        <f>SUM(Q74:S74)</f>
        <v/>
      </c>
      <c r="Q74" s="513" t="n"/>
      <c r="R74" s="513" t="n"/>
      <c r="S74" s="515" t="n"/>
      <c r="T74" s="505">
        <f>D74+H74+L74+P74</f>
        <v/>
      </c>
      <c r="U74" s="128" t="n"/>
      <c r="V74" s="129" t="n"/>
      <c r="W74" s="119">
        <f>T74-V74</f>
        <v/>
      </c>
      <c r="X74" s="509">
        <f>W74/T74</f>
        <v/>
      </c>
      <c r="Y74" s="516" t="n"/>
    </row>
    <row r="75" ht="14.5" customHeight="1" s="408">
      <c r="A75" s="133" t="inlineStr">
        <is>
          <t>固定資產折扣</t>
        </is>
      </c>
      <c r="B75" s="522" t="n"/>
      <c r="C75" s="512" t="n"/>
      <c r="D75" s="505">
        <f>SUM(E75:G75)</f>
        <v/>
      </c>
      <c r="E75" s="513" t="n"/>
      <c r="F75" s="513" t="n"/>
      <c r="G75" s="514" t="n"/>
      <c r="H75" s="508">
        <f>SUM(I75:K75)</f>
        <v/>
      </c>
      <c r="I75" s="513" t="n"/>
      <c r="J75" s="513" t="n"/>
      <c r="K75" s="515" t="n"/>
      <c r="L75" s="505">
        <f>SUM(M75:O75)</f>
        <v/>
      </c>
      <c r="M75" s="513" t="n"/>
      <c r="N75" s="513" t="n"/>
      <c r="O75" s="514" t="n"/>
      <c r="P75" s="508">
        <f>SUM(Q75:S75)</f>
        <v/>
      </c>
      <c r="Q75" s="513" t="n"/>
      <c r="R75" s="513" t="n"/>
      <c r="S75" s="515" t="n"/>
      <c r="T75" s="505">
        <f>D75+H75+L75+P75</f>
        <v/>
      </c>
      <c r="U75" s="128" t="n"/>
      <c r="V75" s="129" t="n"/>
      <c r="W75" s="119">
        <f>T75-V75</f>
        <v/>
      </c>
      <c r="X75" s="509">
        <f>W75/T75</f>
        <v/>
      </c>
      <c r="Y75" s="516" t="n"/>
    </row>
    <row r="76" ht="14.5" customHeight="1" s="408">
      <c r="A76" s="133" t="inlineStr">
        <is>
          <t>無形資產攤銷</t>
        </is>
      </c>
      <c r="B76" s="521" t="n"/>
      <c r="C76" s="512" t="n"/>
      <c r="D76" s="505">
        <f>SUM(E76:G76)</f>
        <v/>
      </c>
      <c r="E76" s="513" t="n"/>
      <c r="F76" s="513" t="n"/>
      <c r="G76" s="514" t="n"/>
      <c r="H76" s="508">
        <f>SUM(I76:K76)</f>
        <v/>
      </c>
      <c r="I76" s="513" t="n"/>
      <c r="J76" s="513" t="n"/>
      <c r="K76" s="515" t="n"/>
      <c r="L76" s="505">
        <f>SUM(M76:O76)</f>
        <v/>
      </c>
      <c r="M76" s="513" t="n"/>
      <c r="N76" s="513" t="n"/>
      <c r="O76" s="514" t="n"/>
      <c r="P76" s="508">
        <f>SUM(Q76:S76)</f>
        <v/>
      </c>
      <c r="Q76" s="513" t="n"/>
      <c r="R76" s="513" t="n"/>
      <c r="S76" s="515" t="n"/>
      <c r="T76" s="505">
        <f>D76+H76+L76+P76</f>
        <v/>
      </c>
      <c r="U76" s="128" t="n"/>
      <c r="V76" s="129" t="n"/>
      <c r="W76" s="119">
        <f>T76-V76</f>
        <v/>
      </c>
      <c r="X76" s="509">
        <f>W76/T76</f>
        <v/>
      </c>
      <c r="Y76" s="516" t="n"/>
    </row>
    <row r="77" ht="14.5" customHeight="1" s="408">
      <c r="A77" s="141" t="inlineStr">
        <is>
          <t>遞延資產攤銷</t>
        </is>
      </c>
      <c r="B77" s="523" t="n"/>
      <c r="C77" s="524" t="n"/>
      <c r="D77" s="505">
        <f>SUM(E77:G77)</f>
        <v/>
      </c>
      <c r="E77" s="525" t="n"/>
      <c r="F77" s="525" t="n"/>
      <c r="G77" s="526" t="n"/>
      <c r="H77" s="527">
        <f>SUM(I77:K77)</f>
        <v/>
      </c>
      <c r="I77" s="525" t="n"/>
      <c r="J77" s="525" t="n"/>
      <c r="K77" s="528" t="n"/>
      <c r="L77" s="505">
        <f>SUM(M77:O77)</f>
        <v/>
      </c>
      <c r="M77" s="525" t="n"/>
      <c r="N77" s="525" t="n"/>
      <c r="O77" s="526" t="n"/>
      <c r="P77" s="508">
        <f>SUM(Q77:S77)</f>
        <v/>
      </c>
      <c r="Q77" s="525" t="n"/>
      <c r="R77" s="525" t="n"/>
      <c r="S77" s="528" t="n"/>
      <c r="T77" s="505">
        <f>D77+H77+L77+P77</f>
        <v/>
      </c>
      <c r="U77" s="148" t="n"/>
      <c r="V77" s="149" t="n"/>
      <c r="W77" s="119">
        <f>T77-V77</f>
        <v/>
      </c>
      <c r="X77" s="509">
        <f>W77/T77</f>
        <v/>
      </c>
      <c r="Y77" s="529" t="n"/>
    </row>
    <row r="78" ht="14.5" customHeight="1" s="408">
      <c r="A78" s="151" t="inlineStr">
        <is>
          <t>長期待攤費用攤銷</t>
        </is>
      </c>
      <c r="B78" s="530" t="n"/>
      <c r="C78" s="531" t="n"/>
      <c r="D78" s="532">
        <f>SUM(E78:G78)</f>
        <v/>
      </c>
      <c r="E78" s="533" t="n"/>
      <c r="F78" s="533" t="n"/>
      <c r="G78" s="534" t="n"/>
      <c r="H78" s="508">
        <f>SUM(I78:K78)</f>
        <v/>
      </c>
      <c r="I78" s="533" t="n"/>
      <c r="J78" s="533" t="n"/>
      <c r="K78" s="535" t="n"/>
      <c r="L78" s="532">
        <f>SUM(M78:O78)</f>
        <v/>
      </c>
      <c r="M78" s="533" t="n"/>
      <c r="N78" s="533" t="n"/>
      <c r="O78" s="534" t="n"/>
      <c r="P78" s="536">
        <f>SUM(Q78:S78)</f>
        <v/>
      </c>
      <c r="Q78" s="533" t="n"/>
      <c r="R78" s="533" t="n"/>
      <c r="S78" s="535" t="n"/>
      <c r="T78" s="505">
        <f>D78+H78+L78+P78</f>
        <v/>
      </c>
      <c r="U78" s="159" t="n"/>
      <c r="V78" s="160" t="n"/>
      <c r="W78" s="119">
        <f>T78-V78</f>
        <v/>
      </c>
      <c r="X78" s="509">
        <f>W78/T78</f>
        <v/>
      </c>
      <c r="Y78" s="537" t="n"/>
    </row>
    <row r="79" ht="14.5" customHeight="1" s="408">
      <c r="A79" s="133" t="inlineStr">
        <is>
          <t>資產減值損失</t>
        </is>
      </c>
      <c r="B79" s="521" t="n"/>
      <c r="C79" s="512" t="n"/>
      <c r="D79" s="538">
        <f>SUM(E79:G79)</f>
        <v/>
      </c>
      <c r="E79" s="513" t="n"/>
      <c r="F79" s="513" t="n"/>
      <c r="G79" s="514" t="n"/>
      <c r="H79" s="539">
        <f>SUM(I79:K79)</f>
        <v/>
      </c>
      <c r="I79" s="513" t="n"/>
      <c r="J79" s="513" t="n"/>
      <c r="K79" s="515" t="n"/>
      <c r="L79" s="538">
        <f>SUM(M79:O79)</f>
        <v/>
      </c>
      <c r="M79" s="513" t="n"/>
      <c r="N79" s="513" t="n"/>
      <c r="O79" s="514" t="n"/>
      <c r="P79" s="539">
        <f>SUM(Q79:S79)</f>
        <v/>
      </c>
      <c r="Q79" s="513" t="n"/>
      <c r="R79" s="513" t="n"/>
      <c r="S79" s="515" t="n"/>
      <c r="T79" s="505">
        <f>D79+H79+L79+P79</f>
        <v/>
      </c>
      <c r="U79" s="128" t="n"/>
      <c r="V79" s="129" t="n"/>
      <c r="W79" s="119">
        <f>T79-V79</f>
        <v/>
      </c>
      <c r="X79" s="509">
        <f>W79/T79</f>
        <v/>
      </c>
      <c r="Y79" s="516" t="n"/>
    </row>
    <row r="80" ht="14.5" customHeight="1" s="408">
      <c r="A80" s="133" t="inlineStr">
        <is>
          <t>壞賬損失</t>
        </is>
      </c>
      <c r="B80" s="521" t="n"/>
      <c r="C80" s="512" t="n"/>
      <c r="D80" s="505">
        <f>SUM(E80:G80)</f>
        <v/>
      </c>
      <c r="E80" s="513" t="n"/>
      <c r="F80" s="513" t="n"/>
      <c r="G80" s="514" t="n"/>
      <c r="H80" s="539">
        <f>SUM(I80:K80)</f>
        <v/>
      </c>
      <c r="I80" s="513" t="n"/>
      <c r="J80" s="513" t="n"/>
      <c r="K80" s="515" t="n"/>
      <c r="L80" s="538">
        <f>SUM(M80:O80)</f>
        <v/>
      </c>
      <c r="M80" s="513" t="n"/>
      <c r="N80" s="513" t="n"/>
      <c r="O80" s="514" t="n"/>
      <c r="P80" s="539">
        <f>SUM(Q80:S80)</f>
        <v/>
      </c>
      <c r="Q80" s="513" t="n"/>
      <c r="R80" s="513" t="n"/>
      <c r="S80" s="515" t="n"/>
      <c r="T80" s="505">
        <f>D80+H80+L80+P80</f>
        <v/>
      </c>
      <c r="U80" s="128" t="n"/>
      <c r="V80" s="129" t="n"/>
      <c r="W80" s="119">
        <f>T80-V80</f>
        <v/>
      </c>
      <c r="X80" s="509">
        <f>W80/T80</f>
        <v/>
      </c>
      <c r="Y80" s="516" t="n"/>
    </row>
    <row r="81" ht="14.5" customHeight="1" s="408">
      <c r="A81" s="133" t="inlineStr">
        <is>
          <t>存貨跌價損失</t>
        </is>
      </c>
      <c r="B81" s="521" t="n"/>
      <c r="C81" s="512" t="n"/>
      <c r="D81" s="505">
        <f>SUM(E81:G81)</f>
        <v/>
      </c>
      <c r="E81" s="513" t="n"/>
      <c r="F81" s="513" t="n"/>
      <c r="G81" s="514" t="n"/>
      <c r="H81" s="508">
        <f>SUM(I81:K81)</f>
        <v/>
      </c>
      <c r="I81" s="513" t="n"/>
      <c r="J81" s="513" t="n"/>
      <c r="K81" s="515" t="n"/>
      <c r="L81" s="538">
        <f>SUM(M81:O81)</f>
        <v/>
      </c>
      <c r="M81" s="513" t="n"/>
      <c r="N81" s="513" t="n"/>
      <c r="O81" s="514" t="n"/>
      <c r="P81" s="539">
        <f>SUM(Q81:S81)</f>
        <v/>
      </c>
      <c r="Q81" s="513" t="n"/>
      <c r="R81" s="513" t="n"/>
      <c r="S81" s="515" t="n"/>
      <c r="T81" s="505">
        <f>D81+H81+L81+P81</f>
        <v/>
      </c>
      <c r="U81" s="128" t="n"/>
      <c r="V81" s="129" t="n"/>
      <c r="W81" s="119">
        <f>T81-V81</f>
        <v/>
      </c>
      <c r="X81" s="509">
        <f>W81/T81</f>
        <v/>
      </c>
      <c r="Y81" s="516" t="n"/>
    </row>
    <row r="82" ht="14.5" customHeight="1" s="408">
      <c r="A82" s="133" t="inlineStr">
        <is>
          <t>合同預計損失</t>
        </is>
      </c>
      <c r="B82" s="521" t="n"/>
      <c r="C82" s="512" t="n"/>
      <c r="D82" s="538">
        <f>SUM(E82:G82)</f>
        <v/>
      </c>
      <c r="E82" s="513" t="n"/>
      <c r="F82" s="513" t="n"/>
      <c r="G82" s="514" t="n"/>
      <c r="H82" s="508">
        <f>SUM(I82:K82)</f>
        <v/>
      </c>
      <c r="I82" s="513" t="n"/>
      <c r="J82" s="513" t="n"/>
      <c r="K82" s="515" t="n"/>
      <c r="L82" s="538">
        <f>SUM(M82:O82)</f>
        <v/>
      </c>
      <c r="M82" s="513" t="n"/>
      <c r="N82" s="513" t="n"/>
      <c r="O82" s="514" t="n"/>
      <c r="P82" s="539">
        <f>SUM(Q82:S82)</f>
        <v/>
      </c>
      <c r="Q82" s="513" t="n"/>
      <c r="R82" s="513" t="n"/>
      <c r="S82" s="515" t="n"/>
      <c r="T82" s="505">
        <f>D82+H82+L82+P82</f>
        <v/>
      </c>
      <c r="U82" s="128" t="n"/>
      <c r="V82" s="129" t="n"/>
      <c r="W82" s="119">
        <f>T82-V82</f>
        <v/>
      </c>
      <c r="X82" s="509">
        <f>W82/T82</f>
        <v/>
      </c>
      <c r="Y82" s="516" t="n"/>
    </row>
    <row r="83" ht="14.5" customHeight="1" s="408">
      <c r="A83" s="133" t="inlineStr">
        <is>
          <t>長期投資減值損失</t>
        </is>
      </c>
      <c r="B83" s="521" t="n"/>
      <c r="C83" s="512" t="n"/>
      <c r="D83" s="538">
        <f>SUM(E83:G83)</f>
        <v/>
      </c>
      <c r="E83" s="513" t="n"/>
      <c r="F83" s="513" t="n"/>
      <c r="G83" s="514" t="n"/>
      <c r="H83" s="539">
        <f>SUM(I83:K83)</f>
        <v/>
      </c>
      <c r="I83" s="513" t="n"/>
      <c r="J83" s="513" t="n"/>
      <c r="K83" s="515" t="n"/>
      <c r="L83" s="538">
        <f>SUM(M83:O83)</f>
        <v/>
      </c>
      <c r="M83" s="513" t="n"/>
      <c r="N83" s="513" t="n"/>
      <c r="O83" s="514" t="n"/>
      <c r="P83" s="539">
        <f>SUM(Q83:S83)</f>
        <v/>
      </c>
      <c r="Q83" s="513" t="n"/>
      <c r="R83" s="513" t="n"/>
      <c r="S83" s="515" t="n"/>
      <c r="T83" s="505">
        <f>D83+H83+L83+P83</f>
        <v/>
      </c>
      <c r="U83" s="128" t="n"/>
      <c r="V83" s="129" t="n"/>
      <c r="W83" s="119">
        <f>T83-V83</f>
        <v/>
      </c>
      <c r="X83" s="509">
        <f>W83/T83</f>
        <v/>
      </c>
      <c r="Y83" s="516" t="n"/>
    </row>
    <row r="84" ht="14.5" customHeight="1" s="408">
      <c r="A84" s="122" t="inlineStr">
        <is>
          <t>固定資產減值損失</t>
        </is>
      </c>
      <c r="B84" s="521" t="n"/>
      <c r="C84" s="512" t="n"/>
      <c r="D84" s="538">
        <f>SUM(E84:G84)</f>
        <v/>
      </c>
      <c r="E84" s="513" t="n"/>
      <c r="F84" s="513" t="n"/>
      <c r="G84" s="514" t="n"/>
      <c r="H84" s="508">
        <f>SUM(I84:K84)</f>
        <v/>
      </c>
      <c r="I84" s="513" t="n"/>
      <c r="J84" s="513" t="n"/>
      <c r="K84" s="515" t="n"/>
      <c r="L84" s="538">
        <f>SUM(M84:O84)</f>
        <v/>
      </c>
      <c r="M84" s="513" t="n"/>
      <c r="N84" s="513" t="n"/>
      <c r="O84" s="514" t="n"/>
      <c r="P84" s="539">
        <f>SUM(Q84:S84)</f>
        <v/>
      </c>
      <c r="Q84" s="513" t="n"/>
      <c r="R84" s="513" t="n"/>
      <c r="S84" s="515" t="n"/>
      <c r="T84" s="505">
        <f>D84+H84+L84+P84</f>
        <v/>
      </c>
      <c r="U84" s="128" t="n"/>
      <c r="V84" s="129" t="n"/>
      <c r="W84" s="119">
        <f>T84-V84</f>
        <v/>
      </c>
      <c r="X84" s="509">
        <f>W84/T84</f>
        <v/>
      </c>
      <c r="Y84" s="516" t="n"/>
    </row>
    <row r="85" ht="14.5" customHeight="1" s="408">
      <c r="A85" s="122" t="inlineStr">
        <is>
          <t>無形資產減值損失</t>
        </is>
      </c>
      <c r="B85" s="521" t="n"/>
      <c r="C85" s="512" t="n"/>
      <c r="D85" s="538">
        <f>SUM(E85:G85)</f>
        <v/>
      </c>
      <c r="E85" s="513" t="n"/>
      <c r="F85" s="513" t="n"/>
      <c r="G85" s="514" t="n"/>
      <c r="H85" s="508">
        <f>SUM(I85:K85)</f>
        <v/>
      </c>
      <c r="I85" s="513" t="n"/>
      <c r="J85" s="513" t="n"/>
      <c r="K85" s="515" t="n"/>
      <c r="L85" s="538">
        <f>SUM(M85:O85)</f>
        <v/>
      </c>
      <c r="M85" s="513" t="n"/>
      <c r="N85" s="513" t="n"/>
      <c r="O85" s="514" t="n"/>
      <c r="P85" s="539">
        <f>SUM(Q85:S85)</f>
        <v/>
      </c>
      <c r="Q85" s="513" t="n"/>
      <c r="R85" s="513" t="n"/>
      <c r="S85" s="515" t="n"/>
      <c r="T85" s="505">
        <f>D85+H85+L85+P85</f>
        <v/>
      </c>
      <c r="U85" s="128" t="n"/>
      <c r="V85" s="129" t="n"/>
      <c r="W85" s="119">
        <f>T85-V85</f>
        <v/>
      </c>
      <c r="X85" s="509">
        <f>W85/T85</f>
        <v/>
      </c>
      <c r="Y85" s="516" t="n"/>
    </row>
    <row r="86" ht="14.5" customHeight="1" s="408">
      <c r="A86" s="122" t="inlineStr">
        <is>
          <t>在建工程減值損失</t>
        </is>
      </c>
      <c r="B86" s="511" t="n"/>
      <c r="C86" s="512" t="n"/>
      <c r="D86" s="538">
        <f>SUM(E86:G86)</f>
        <v/>
      </c>
      <c r="E86" s="513" t="n"/>
      <c r="F86" s="513" t="n"/>
      <c r="G86" s="514" t="n"/>
      <c r="H86" s="508">
        <f>SUM(I86:K86)</f>
        <v/>
      </c>
      <c r="I86" s="513" t="n"/>
      <c r="J86" s="513" t="n"/>
      <c r="K86" s="515" t="n"/>
      <c r="L86" s="538">
        <f>SUM(M86:O86)</f>
        <v/>
      </c>
      <c r="M86" s="513" t="n"/>
      <c r="N86" s="513" t="n"/>
      <c r="O86" s="514" t="n"/>
      <c r="P86" s="539">
        <f>SUM(Q86:S86)</f>
        <v/>
      </c>
      <c r="Q86" s="513" t="n"/>
      <c r="R86" s="513" t="n"/>
      <c r="S86" s="515" t="n"/>
      <c r="T86" s="505">
        <f>D86+H86+L86+P86</f>
        <v/>
      </c>
      <c r="U86" s="128" t="n"/>
      <c r="V86" s="129" t="n"/>
      <c r="W86" s="119">
        <f>T86-V86</f>
        <v/>
      </c>
      <c r="X86" s="509">
        <f>W86/T86</f>
        <v/>
      </c>
      <c r="Y86" s="516" t="n"/>
    </row>
    <row r="87" ht="14.5" customHeight="1" s="408">
      <c r="A87" s="122" t="inlineStr">
        <is>
          <t>工程物資減值損失</t>
        </is>
      </c>
      <c r="B87" s="521" t="n"/>
      <c r="C87" s="512" t="n"/>
      <c r="D87" s="538">
        <f>SUM(E87:G87)</f>
        <v/>
      </c>
      <c r="E87" s="513" t="n"/>
      <c r="F87" s="513" t="n"/>
      <c r="G87" s="514" t="n"/>
      <c r="H87" s="539">
        <f>SUM(I87:K87)</f>
        <v/>
      </c>
      <c r="I87" s="513" t="n"/>
      <c r="J87" s="513" t="n"/>
      <c r="K87" s="515" t="n"/>
      <c r="L87" s="538">
        <f>SUM(M87:O87)</f>
        <v/>
      </c>
      <c r="M87" s="513" t="n"/>
      <c r="N87" s="513" t="n"/>
      <c r="O87" s="514" t="n"/>
      <c r="P87" s="539">
        <f>SUM(Q87:S87)</f>
        <v/>
      </c>
      <c r="Q87" s="513" t="n"/>
      <c r="R87" s="513" t="n"/>
      <c r="S87" s="515" t="n"/>
      <c r="T87" s="505">
        <f>D87+H87+L87+P87</f>
        <v/>
      </c>
      <c r="U87" s="128" t="n"/>
      <c r="V87" s="129" t="n"/>
      <c r="W87" s="119">
        <f>T87-V87</f>
        <v/>
      </c>
      <c r="X87" s="509">
        <f>W87/T87</f>
        <v/>
      </c>
      <c r="Y87" s="516" t="n"/>
    </row>
    <row r="88" ht="14.5" customHeight="1" s="408">
      <c r="A88" s="122" t="inlineStr">
        <is>
          <t>持有至到期投資減值損失</t>
        </is>
      </c>
      <c r="B88" s="511" t="n"/>
      <c r="C88" s="512" t="n"/>
      <c r="D88" s="538">
        <f>SUM(E88:G88)</f>
        <v/>
      </c>
      <c r="E88" s="513" t="n"/>
      <c r="F88" s="513" t="n"/>
      <c r="G88" s="514" t="n"/>
      <c r="H88" s="508">
        <f>SUM(I88:K88)</f>
        <v/>
      </c>
      <c r="I88" s="513" t="n"/>
      <c r="J88" s="513" t="n"/>
      <c r="K88" s="515" t="n"/>
      <c r="L88" s="538">
        <f>SUM(M88:O88)</f>
        <v/>
      </c>
      <c r="M88" s="513" t="n"/>
      <c r="N88" s="513" t="n"/>
      <c r="O88" s="514" t="n"/>
      <c r="P88" s="539">
        <f>SUM(Q88:S88)</f>
        <v/>
      </c>
      <c r="Q88" s="513" t="n"/>
      <c r="R88" s="513" t="n"/>
      <c r="S88" s="515" t="n"/>
      <c r="T88" s="505">
        <f>D88+H88+L88+P88</f>
        <v/>
      </c>
      <c r="U88" s="128" t="n"/>
      <c r="V88" s="129" t="n"/>
      <c r="W88" s="119">
        <f>T88-V88</f>
        <v/>
      </c>
      <c r="X88" s="509">
        <f>W88/T88</f>
        <v/>
      </c>
      <c r="Y88" s="516" t="n"/>
    </row>
    <row r="89" ht="14.5" customHeight="1" s="408">
      <c r="A89" s="122" t="inlineStr">
        <is>
          <t>商譽減值損失</t>
        </is>
      </c>
      <c r="B89" s="522" t="n"/>
      <c r="C89" s="512" t="n"/>
      <c r="D89" s="538">
        <f>SUM(E89:G89)</f>
        <v/>
      </c>
      <c r="E89" s="513" t="n"/>
      <c r="F89" s="513" t="n"/>
      <c r="G89" s="514" t="n"/>
      <c r="H89" s="508">
        <f>SUM(I89:K89)</f>
        <v/>
      </c>
      <c r="I89" s="513" t="n"/>
      <c r="J89" s="513" t="n"/>
      <c r="K89" s="515" t="n"/>
      <c r="L89" s="538">
        <f>SUM(M89:O89)</f>
        <v/>
      </c>
      <c r="M89" s="513" t="n"/>
      <c r="N89" s="513" t="n"/>
      <c r="O89" s="514" t="n"/>
      <c r="P89" s="539">
        <f>SUM(Q89:S89)</f>
        <v/>
      </c>
      <c r="Q89" s="513" t="n"/>
      <c r="R89" s="513" t="n"/>
      <c r="S89" s="515" t="n"/>
      <c r="T89" s="505">
        <f>D89+H89+L89+P89</f>
        <v/>
      </c>
      <c r="U89" s="128" t="n"/>
      <c r="V89" s="129" t="n"/>
      <c r="W89" s="119">
        <f>T89-V89</f>
        <v/>
      </c>
      <c r="X89" s="509">
        <f>W89/T89</f>
        <v/>
      </c>
      <c r="Y89" s="516" t="n"/>
    </row>
    <row r="90" ht="14.5" customHeight="1" s="408">
      <c r="A90" s="122" t="inlineStr">
        <is>
          <t>投資性房地產減值損失</t>
        </is>
      </c>
      <c r="B90" s="540" t="n"/>
      <c r="C90" s="512" t="n"/>
      <c r="D90" s="538">
        <f>SUM(E90:G90)</f>
        <v/>
      </c>
      <c r="E90" s="513" t="n"/>
      <c r="F90" s="513" t="n"/>
      <c r="G90" s="514" t="n"/>
      <c r="H90" s="539">
        <f>SUM(I90:K90)</f>
        <v/>
      </c>
      <c r="I90" s="513" t="n"/>
      <c r="J90" s="513" t="n"/>
      <c r="K90" s="515" t="n"/>
      <c r="L90" s="538">
        <f>SUM(M90:O90)</f>
        <v/>
      </c>
      <c r="M90" s="513" t="n"/>
      <c r="N90" s="513" t="n"/>
      <c r="O90" s="514" t="n"/>
      <c r="P90" s="539">
        <f>SUM(Q90:S90)</f>
        <v/>
      </c>
      <c r="Q90" s="513" t="n"/>
      <c r="R90" s="513" t="n"/>
      <c r="S90" s="515" t="n"/>
      <c r="T90" s="505">
        <f>D90+H90+L90+P90</f>
        <v/>
      </c>
      <c r="U90" s="128" t="n"/>
      <c r="V90" s="138" t="n"/>
      <c r="W90" s="119">
        <f>T90-V90</f>
        <v/>
      </c>
      <c r="X90" s="509">
        <f>W90/T90</f>
        <v/>
      </c>
      <c r="Y90" s="516" t="n"/>
    </row>
    <row r="91" ht="14.5" customHeight="1" s="408">
      <c r="A91" s="122" t="inlineStr">
        <is>
          <t>其他</t>
        </is>
      </c>
      <c r="B91" s="522" t="n"/>
      <c r="C91" s="541" t="n"/>
      <c r="D91" s="538">
        <f>SUM(E91:G91)</f>
        <v/>
      </c>
      <c r="E91" s="513" t="n"/>
      <c r="F91" s="513" t="n"/>
      <c r="G91" s="514" t="n"/>
      <c r="H91" s="539">
        <f>SUM(I91:K91)</f>
        <v/>
      </c>
      <c r="I91" s="513" t="n"/>
      <c r="J91" s="513" t="n"/>
      <c r="K91" s="515" t="n"/>
      <c r="L91" s="538">
        <f>SUM(M91:O91)</f>
        <v/>
      </c>
      <c r="M91" s="513" t="n"/>
      <c r="N91" s="513" t="n"/>
      <c r="O91" s="514" t="n"/>
      <c r="P91" s="539">
        <f>SUM(Q91:S91)</f>
        <v/>
      </c>
      <c r="Q91" s="513" t="n"/>
      <c r="R91" s="513" t="n"/>
      <c r="S91" s="515" t="n"/>
      <c r="T91" s="505">
        <f>D91+H91+L91+P91</f>
        <v/>
      </c>
      <c r="U91" s="128" t="n"/>
      <c r="V91" s="129" t="n"/>
      <c r="W91" s="119">
        <f>T91-V91</f>
        <v/>
      </c>
      <c r="X91" s="509">
        <f>W91/T91</f>
        <v/>
      </c>
      <c r="Y91" s="516" t="n"/>
    </row>
    <row r="92" ht="14.5" customHeight="1" s="408">
      <c r="A92" s="166" t="inlineStr">
        <is>
          <t>小計</t>
        </is>
      </c>
      <c r="B92" s="542" t="n"/>
      <c r="C92" s="543">
        <f>SUM(C4:C91)</f>
        <v/>
      </c>
      <c r="D92" s="544">
        <f>SUM(D4:D91)</f>
        <v/>
      </c>
      <c r="E92" s="545">
        <f>SUM(E4:E91)</f>
        <v/>
      </c>
      <c r="F92" s="545">
        <f>SUM(F4:F91)</f>
        <v/>
      </c>
      <c r="G92" s="546">
        <f>SUM(G4:G91)</f>
        <v/>
      </c>
      <c r="H92" s="547">
        <f>SUM(H4:H91)</f>
        <v/>
      </c>
      <c r="I92" s="545">
        <f>SUM(I4:I91)</f>
        <v/>
      </c>
      <c r="J92" s="545">
        <f>SUM(J4:J91)</f>
        <v/>
      </c>
      <c r="K92" s="545">
        <f>SUM(K4:K91)</f>
        <v/>
      </c>
      <c r="L92" s="545">
        <f>SUM(L4:L91)</f>
        <v/>
      </c>
      <c r="M92" s="545">
        <f>SUM(M4:M91)</f>
        <v/>
      </c>
      <c r="N92" s="545">
        <f>SUM(N4:N91)</f>
        <v/>
      </c>
      <c r="O92" s="545">
        <f>SUM(O4:O91)</f>
        <v/>
      </c>
      <c r="P92" s="545">
        <f>SUM(P4:P91)</f>
        <v/>
      </c>
      <c r="Q92" s="545">
        <f>SUM(Q4:Q91)</f>
        <v/>
      </c>
      <c r="R92" s="545">
        <f>SUM(R4:R91)</f>
        <v/>
      </c>
      <c r="S92" s="545">
        <f>SUM(S4:S91)</f>
        <v/>
      </c>
      <c r="T92" s="545">
        <f>D92+H92+L92+P92</f>
        <v/>
      </c>
      <c r="U92" s="545">
        <f>SUM(U4:U91)</f>
        <v/>
      </c>
      <c r="V92" s="545">
        <f>SUM(V4:V91)</f>
        <v/>
      </c>
      <c r="W92" s="173">
        <f>T92-V92</f>
        <v/>
      </c>
      <c r="X92" s="548">
        <f>W92/T92</f>
        <v/>
      </c>
      <c r="Y92" s="549" t="n"/>
    </row>
    <row r="93" ht="14.5" customHeight="1" s="408">
      <c r="A93" s="176" t="inlineStr">
        <is>
          <t>其他非現金支出專案</t>
        </is>
      </c>
      <c r="B93" s="550" t="n"/>
      <c r="C93" s="507" t="n"/>
      <c r="D93" s="551" t="n"/>
      <c r="E93" s="552" t="n"/>
      <c r="F93" s="552" t="n"/>
      <c r="G93" s="553" t="n"/>
      <c r="H93" s="554" t="n"/>
      <c r="I93" s="552" t="n"/>
      <c r="J93" s="552" t="n"/>
      <c r="K93" s="552" t="n"/>
      <c r="L93" s="555" t="n"/>
      <c r="M93" s="552" t="n"/>
      <c r="N93" s="552" t="n"/>
      <c r="O93" s="552" t="n"/>
      <c r="P93" s="555" t="n"/>
      <c r="Q93" s="552" t="n"/>
      <c r="R93" s="552" t="n"/>
      <c r="S93" s="552" t="n"/>
      <c r="T93" s="555" t="n"/>
      <c r="U93" s="183" t="n"/>
      <c r="V93" s="184" t="n"/>
      <c r="W93" s="185">
        <f>T93-V93</f>
        <v/>
      </c>
      <c r="X93" s="556">
        <f>W93/T93</f>
        <v/>
      </c>
      <c r="Y93" s="557" t="n"/>
    </row>
    <row r="94" ht="15" customHeight="1" s="408" thickBot="1">
      <c r="A94" s="188" t="inlineStr">
        <is>
          <t xml:space="preserve">    合      計</t>
        </is>
      </c>
      <c r="B94" s="558" t="n"/>
      <c r="C94" s="559">
        <f>SUM(C92:C93)</f>
        <v/>
      </c>
      <c r="D94" s="560">
        <f>SUM(D92:D93)</f>
        <v/>
      </c>
      <c r="E94" s="561">
        <f>SUM(E92:E93)</f>
        <v/>
      </c>
      <c r="F94" s="561">
        <f>SUM(F92:F93)</f>
        <v/>
      </c>
      <c r="G94" s="562">
        <f>SUM(G92:G93)</f>
        <v/>
      </c>
      <c r="H94" s="563">
        <f>SUM(H92:H93)</f>
        <v/>
      </c>
      <c r="I94" s="561">
        <f>SUM(I92:I93)</f>
        <v/>
      </c>
      <c r="J94" s="561">
        <f>SUM(J92:J93)</f>
        <v/>
      </c>
      <c r="K94" s="561">
        <f>SUM(K92:K93)</f>
        <v/>
      </c>
      <c r="L94" s="561">
        <f>SUM(L92:L93)</f>
        <v/>
      </c>
      <c r="M94" s="561">
        <f>SUM(M92:M93)</f>
        <v/>
      </c>
      <c r="N94" s="561">
        <f>SUM(N92:N93)</f>
        <v/>
      </c>
      <c r="O94" s="561">
        <f>SUM(O92:O93)</f>
        <v/>
      </c>
      <c r="P94" s="561">
        <f>SUM(P92:P93)</f>
        <v/>
      </c>
      <c r="Q94" s="561">
        <f>SUM(Q92:Q93)</f>
        <v/>
      </c>
      <c r="R94" s="561">
        <f>SUM(R92:R93)</f>
        <v/>
      </c>
      <c r="S94" s="561">
        <f>SUM(S92:S93)</f>
        <v/>
      </c>
      <c r="T94" s="561">
        <f>SUM(T92:T93)</f>
        <v/>
      </c>
      <c r="U94" s="561">
        <f>SUM(U92:U93)</f>
        <v/>
      </c>
      <c r="V94" s="561">
        <f>SUM(V92:V93)</f>
        <v/>
      </c>
      <c r="W94" s="195">
        <f>T94-V94</f>
        <v/>
      </c>
      <c r="X94" s="564">
        <f>W94/T94</f>
        <v/>
      </c>
      <c r="Y94" s="565" t="n"/>
    </row>
    <row r="95" ht="14.5" customHeight="1" s="408">
      <c r="A95" s="198" t="inlineStr">
        <is>
          <t>編制說明：</t>
        </is>
      </c>
      <c r="B95" s="199" t="n"/>
      <c r="C95" s="566" t="n"/>
      <c r="D95" s="566" t="n"/>
      <c r="E95" s="199" t="n"/>
      <c r="F95" s="199" t="n"/>
      <c r="G95" s="199" t="n"/>
      <c r="H95" s="199" t="n"/>
      <c r="I95" s="199" t="n"/>
      <c r="J95" s="199" t="n"/>
      <c r="K95" s="199" t="n"/>
      <c r="L95" s="199" t="n"/>
      <c r="M95" s="199" t="n"/>
      <c r="N95" s="199" t="n"/>
      <c r="O95" s="199" t="n"/>
      <c r="P95" s="199" t="n"/>
      <c r="Q95" s="199" t="n"/>
      <c r="R95" s="199" t="n"/>
      <c r="S95" s="199" t="n"/>
      <c r="T95" s="199" t="n"/>
      <c r="U95" s="199" t="n"/>
      <c r="V95" s="199" t="n"/>
      <c r="W95" s="199" t="n"/>
      <c r="X95" s="567" t="n"/>
    </row>
    <row r="96" ht="14.5" customHeight="1" s="408">
      <c r="A96" s="199" t="inlineStr">
        <is>
          <t>1、費用專案應按“重大支出優先”原則列示，列入“其他”的支出不應超過總額的5％。</t>
        </is>
      </c>
      <c r="B96" s="199" t="n"/>
      <c r="C96" s="199" t="n"/>
      <c r="D96" s="199" t="n"/>
      <c r="E96" s="199" t="n"/>
      <c r="F96" s="199" t="n"/>
      <c r="G96" s="199" t="n"/>
      <c r="H96" s="199" t="n"/>
      <c r="I96" s="199" t="n"/>
      <c r="J96" s="199" t="n"/>
      <c r="K96" s="199" t="n"/>
      <c r="L96" s="199" t="n"/>
      <c r="M96" s="199" t="n"/>
      <c r="N96" s="199" t="n"/>
      <c r="O96" s="199" t="n"/>
      <c r="P96" s="199" t="n"/>
      <c r="Q96" s="199" t="n"/>
      <c r="R96" s="199" t="n"/>
      <c r="S96" s="199" t="n"/>
      <c r="T96" s="199" t="n"/>
      <c r="U96" s="199" t="n"/>
      <c r="V96" s="199" t="n"/>
      <c r="W96" s="199" t="n"/>
      <c r="X96" s="567" t="n"/>
      <c r="Y96" s="410" t="n"/>
    </row>
    <row r="97" ht="14.5" customHeight="1" s="408">
      <c r="A97" s="199" t="inlineStr">
        <is>
          <t>2、錄入“現金流量表”的數據按照本表的“現金支付專案”小計數填列。</t>
        </is>
      </c>
      <c r="B97" s="199" t="n"/>
      <c r="C97" s="566" t="n"/>
      <c r="D97" s="566" t="n"/>
      <c r="E97" s="199" t="n"/>
      <c r="F97" s="199" t="n"/>
      <c r="G97" s="199" t="n"/>
      <c r="H97" s="199" t="n"/>
      <c r="I97" s="199" t="n"/>
      <c r="J97" s="199" t="n"/>
      <c r="K97" s="199" t="n"/>
      <c r="L97" s="199" t="n"/>
      <c r="M97" s="199" t="n"/>
      <c r="N97" s="199" t="n"/>
      <c r="O97" s="199" t="n"/>
      <c r="P97" s="199" t="n"/>
      <c r="Q97" s="199" t="n"/>
      <c r="R97" s="199" t="n"/>
      <c r="S97" s="199" t="n"/>
      <c r="T97" s="199" t="n"/>
      <c r="U97" s="199" t="n"/>
      <c r="V97" s="199" t="n"/>
      <c r="W97" s="199" t="n"/>
      <c r="X97" s="410" t="n"/>
      <c r="Y97" s="410" t="n"/>
    </row>
    <row r="98" ht="14.5" customHeight="1" s="408">
      <c r="A98" s="199" t="inlineStr">
        <is>
          <t>3、低值易耗品攤銷：假設當年發生，當年全額結轉，如有金額較大支出，在資產負債表“存貨”專案中列示，並在“附注”中說明。</t>
        </is>
      </c>
      <c r="B98" s="566" t="n"/>
      <c r="C98" s="566" t="n"/>
      <c r="D98" s="199" t="n"/>
      <c r="E98" s="199" t="n"/>
      <c r="F98" s="199" t="n"/>
      <c r="G98" s="199" t="n"/>
      <c r="H98" s="199" t="n"/>
      <c r="I98" s="199" t="n"/>
      <c r="J98" s="199" t="n"/>
      <c r="K98" s="199" t="n"/>
      <c r="L98" s="199" t="n"/>
      <c r="M98" s="199" t="n"/>
      <c r="N98" s="199" t="n"/>
      <c r="O98" s="199" t="n"/>
      <c r="P98" s="199" t="n"/>
      <c r="Q98" s="199" t="n"/>
      <c r="R98" s="199" t="n"/>
      <c r="S98" s="199" t="n"/>
      <c r="T98" s="199" t="n"/>
      <c r="U98" s="199" t="n"/>
      <c r="V98" s="199" t="n"/>
      <c r="W98" s="410" t="n"/>
      <c r="X98" s="410" t="n"/>
      <c r="Y98" s="208" t="n"/>
    </row>
  </sheetData>
  <mergeCells count="2">
    <mergeCell ref="X95:Y95"/>
    <mergeCell ref="A1:Y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V62"/>
  <sheetViews>
    <sheetView workbookViewId="0">
      <selection activeCell="H20" sqref="H20"/>
    </sheetView>
  </sheetViews>
  <sheetFormatPr baseColWidth="8" defaultRowHeight="14"/>
  <cols>
    <col width="23.1796875" customWidth="1" style="408" min="1" max="1"/>
  </cols>
  <sheetData>
    <row r="1" ht="24" customHeight="1" s="408">
      <c r="A1" s="46" t="inlineStr">
        <is>
          <t xml:space="preserve"> 銷售費用現金預算表</t>
        </is>
      </c>
    </row>
    <row r="2" ht="15" customHeight="1" s="408" thickBot="1">
      <c r="A2" s="266" t="inlineStr">
        <is>
          <t>編制單位：</t>
        </is>
      </c>
      <c r="B2" s="203" t="n"/>
      <c r="C2" s="266" t="n"/>
      <c r="D2" s="266" t="n"/>
      <c r="E2" s="266" t="n"/>
      <c r="F2" s="203" t="n"/>
      <c r="G2" s="203" t="n"/>
      <c r="H2" s="203" t="n"/>
      <c r="I2" s="203" t="n"/>
      <c r="J2" s="203" t="inlineStr">
        <is>
          <t>預算年度：</t>
        </is>
      </c>
      <c r="K2" s="203" t="n"/>
      <c r="L2" s="203" t="n"/>
      <c r="M2" s="203" t="n"/>
      <c r="N2" s="203" t="n"/>
      <c r="O2" s="203" t="n"/>
      <c r="P2" s="203" t="n"/>
      <c r="Q2" s="203" t="n"/>
      <c r="R2" s="266" t="inlineStr">
        <is>
          <t>製表人：</t>
        </is>
      </c>
      <c r="S2" s="266" t="n"/>
      <c r="T2" s="266" t="n"/>
      <c r="U2" s="266" t="n"/>
      <c r="V2" s="266" t="n"/>
    </row>
    <row r="3" ht="14.5" customHeight="1" s="408">
      <c r="A3" s="568" t="inlineStr">
        <is>
          <t>項    目</t>
        </is>
      </c>
      <c r="B3" s="446" t="inlineStr">
        <is>
          <t>全年預計現金流出量</t>
        </is>
      </c>
      <c r="C3" s="447" t="n"/>
      <c r="D3" s="447" t="n"/>
      <c r="E3" s="447" t="n"/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569" t="inlineStr">
        <is>
          <t>全年</t>
        </is>
      </c>
      <c r="S3" s="450" t="inlineStr">
        <is>
          <t>上年實際</t>
        </is>
      </c>
      <c r="T3" s="450" t="inlineStr">
        <is>
          <t>增減數</t>
        </is>
      </c>
      <c r="U3" s="206" t="inlineStr">
        <is>
          <t>增減（％）</t>
        </is>
      </c>
      <c r="V3" s="570" t="inlineStr">
        <is>
          <t>預算責任人</t>
        </is>
      </c>
    </row>
    <row r="4" ht="15" customHeight="1" s="408" thickBot="1">
      <c r="A4" s="451" t="n"/>
      <c r="B4" s="571" t="inlineStr">
        <is>
          <t>一季度</t>
        </is>
      </c>
      <c r="C4" s="572" t="inlineStr">
        <is>
          <t>1月</t>
        </is>
      </c>
      <c r="D4" s="572" t="inlineStr">
        <is>
          <t>2月</t>
        </is>
      </c>
      <c r="E4" s="573" t="inlineStr">
        <is>
          <t>3月</t>
        </is>
      </c>
      <c r="F4" s="571" t="inlineStr">
        <is>
          <t>二季度</t>
        </is>
      </c>
      <c r="G4" s="572" t="inlineStr">
        <is>
          <t>4月</t>
        </is>
      </c>
      <c r="H4" s="572" t="inlineStr">
        <is>
          <t>5月</t>
        </is>
      </c>
      <c r="I4" s="574" t="inlineStr">
        <is>
          <t>6月</t>
        </is>
      </c>
      <c r="J4" s="575" t="inlineStr">
        <is>
          <t>三季度</t>
        </is>
      </c>
      <c r="K4" s="572" t="inlineStr">
        <is>
          <t>7月</t>
        </is>
      </c>
      <c r="L4" s="572" t="inlineStr">
        <is>
          <t>8月</t>
        </is>
      </c>
      <c r="M4" s="573" t="inlineStr">
        <is>
          <t>9月</t>
        </is>
      </c>
      <c r="N4" s="571" t="inlineStr">
        <is>
          <t>四季度</t>
        </is>
      </c>
      <c r="O4" s="572" t="inlineStr">
        <is>
          <t>10月</t>
        </is>
      </c>
      <c r="P4" s="572" t="inlineStr">
        <is>
          <t>11月</t>
        </is>
      </c>
      <c r="Q4" s="574" t="inlineStr">
        <is>
          <t>12月</t>
        </is>
      </c>
      <c r="R4" s="576" t="n"/>
      <c r="S4" s="464" t="n"/>
      <c r="T4" s="464" t="n"/>
      <c r="U4" s="464" t="n"/>
      <c r="V4" s="465" t="n"/>
    </row>
    <row r="5" ht="15" customHeight="1" s="408" thickTop="1">
      <c r="A5" s="577" t="inlineStr">
        <is>
          <t>現金支付專案</t>
        </is>
      </c>
      <c r="B5" s="508" t="n"/>
      <c r="C5" s="578" t="n"/>
      <c r="D5" s="578" t="n"/>
      <c r="E5" s="579" t="n"/>
      <c r="F5" s="508" t="n"/>
      <c r="G5" s="506" t="n"/>
      <c r="H5" s="506" t="n"/>
      <c r="I5" s="504" t="n"/>
      <c r="J5" s="505" t="n"/>
      <c r="K5" s="506" t="n"/>
      <c r="L5" s="506" t="n"/>
      <c r="M5" s="507" t="n"/>
      <c r="N5" s="508" t="n"/>
      <c r="O5" s="506" t="n"/>
      <c r="P5" s="506" t="n"/>
      <c r="Q5" s="504" t="n"/>
      <c r="R5" s="505" t="n"/>
      <c r="S5" s="506" t="n"/>
      <c r="T5" s="506" t="n"/>
      <c r="U5" s="217" t="n"/>
      <c r="V5" s="580" t="n"/>
    </row>
    <row r="6" ht="14.5" customHeight="1" s="408">
      <c r="A6" s="219" t="inlineStr">
        <is>
          <t>銷售費用</t>
        </is>
      </c>
      <c r="B6" s="508">
        <f>SUM(C6:E6)</f>
        <v/>
      </c>
      <c r="C6" s="581" t="n"/>
      <c r="D6" s="581" t="n"/>
      <c r="E6" s="582" t="n"/>
      <c r="F6" s="539">
        <f>SUM(G6:I6)</f>
        <v/>
      </c>
      <c r="G6" s="581" t="n"/>
      <c r="H6" s="581" t="n"/>
      <c r="I6" s="541" t="n"/>
      <c r="J6" s="538">
        <f>SUM(K6:M6)</f>
        <v/>
      </c>
      <c r="K6" s="581" t="n"/>
      <c r="L6" s="581" t="n"/>
      <c r="M6" s="582" t="n"/>
      <c r="N6" s="539">
        <f>SUM(O6:Q6)</f>
        <v/>
      </c>
      <c r="O6" s="581" t="n"/>
      <c r="P6" s="581" t="n"/>
      <c r="Q6" s="541" t="n"/>
      <c r="R6" s="538">
        <f>B6+F6+J6+N6</f>
        <v/>
      </c>
      <c r="S6" s="581" t="n"/>
      <c r="T6" s="581">
        <f>R6-S6</f>
        <v/>
      </c>
      <c r="U6" s="222">
        <f>T6/R6</f>
        <v/>
      </c>
      <c r="V6" s="583" t="n"/>
    </row>
    <row r="7" ht="14.5" customHeight="1" s="408">
      <c r="A7" s="219" t="inlineStr">
        <is>
          <t>行銷費用</t>
        </is>
      </c>
      <c r="B7" s="508">
        <f>SUM(C7:E7)</f>
        <v/>
      </c>
      <c r="C7" s="581" t="n"/>
      <c r="D7" s="581" t="n"/>
      <c r="E7" s="582" t="n"/>
      <c r="F7" s="539">
        <f>SUM(G7:I7)</f>
        <v/>
      </c>
      <c r="G7" s="581" t="n"/>
      <c r="H7" s="581" t="n"/>
      <c r="I7" s="541" t="n"/>
      <c r="J7" s="538">
        <f>SUM(K7:M7)</f>
        <v/>
      </c>
      <c r="K7" s="581" t="n"/>
      <c r="L7" s="581" t="n"/>
      <c r="M7" s="582" t="n"/>
      <c r="N7" s="539">
        <f>SUM(O7:Q7)</f>
        <v/>
      </c>
      <c r="O7" s="581" t="n"/>
      <c r="P7" s="581" t="n"/>
      <c r="Q7" s="541" t="n"/>
      <c r="R7" s="538">
        <f>B7+F7+J7+N7</f>
        <v/>
      </c>
      <c r="S7" s="581" t="n"/>
      <c r="T7" s="581">
        <f>R7-S7</f>
        <v/>
      </c>
      <c r="U7" s="222">
        <f>T7/R7</f>
        <v/>
      </c>
      <c r="V7" s="583" t="n"/>
    </row>
    <row r="8" ht="14.5" customHeight="1" s="408">
      <c r="A8" s="219" t="inlineStr">
        <is>
          <t>廣告費</t>
        </is>
      </c>
      <c r="B8" s="508">
        <f>SUM(C8:E8)</f>
        <v/>
      </c>
      <c r="C8" s="581" t="n"/>
      <c r="D8" s="581" t="n"/>
      <c r="E8" s="582" t="n"/>
      <c r="F8" s="539">
        <f>SUM(G8:I8)</f>
        <v/>
      </c>
      <c r="G8" s="581" t="n"/>
      <c r="H8" s="581" t="n"/>
      <c r="I8" s="541" t="n"/>
      <c r="J8" s="538">
        <f>SUM(K8:M8)</f>
        <v/>
      </c>
      <c r="K8" s="581" t="n"/>
      <c r="L8" s="581" t="n"/>
      <c r="M8" s="582" t="n"/>
      <c r="N8" s="539">
        <f>SUM(O8:Q8)</f>
        <v/>
      </c>
      <c r="O8" s="581" t="n"/>
      <c r="P8" s="581" t="n"/>
      <c r="Q8" s="541" t="n"/>
      <c r="R8" s="538">
        <f>B8+F8+J8+N8</f>
        <v/>
      </c>
      <c r="S8" s="581" t="n"/>
      <c r="T8" s="581">
        <f>R8-S8</f>
        <v/>
      </c>
      <c r="U8" s="222">
        <f>T8/R8</f>
        <v/>
      </c>
      <c r="V8" s="583" t="n"/>
    </row>
    <row r="9" ht="14.5" customHeight="1" s="408">
      <c r="A9" s="219" t="inlineStr">
        <is>
          <t>報紙廣告</t>
        </is>
      </c>
      <c r="B9" s="508">
        <f>SUM(C9:E9)</f>
        <v/>
      </c>
      <c r="C9" s="581" t="n"/>
      <c r="D9" s="581" t="n"/>
      <c r="E9" s="582" t="n"/>
      <c r="F9" s="539">
        <f>SUM(G9:I9)</f>
        <v/>
      </c>
      <c r="G9" s="581" t="n"/>
      <c r="H9" s="581" t="n"/>
      <c r="I9" s="541" t="n"/>
      <c r="J9" s="538">
        <f>SUM(K9:M9)</f>
        <v/>
      </c>
      <c r="K9" s="581" t="n"/>
      <c r="L9" s="581" t="n"/>
      <c r="M9" s="582" t="n"/>
      <c r="N9" s="539">
        <f>SUM(O9:Q9)</f>
        <v/>
      </c>
      <c r="O9" s="581" t="n"/>
      <c r="P9" s="581" t="n"/>
      <c r="Q9" s="541" t="n"/>
      <c r="R9" s="538">
        <f>B9+F9+J9+N9</f>
        <v/>
      </c>
      <c r="S9" s="581" t="n"/>
      <c r="T9" s="581">
        <f>R9-S9</f>
        <v/>
      </c>
      <c r="U9" s="222">
        <f>T9/R9</f>
        <v/>
      </c>
      <c r="V9" s="583" t="n"/>
    </row>
    <row r="10" ht="14.5" customHeight="1" s="408">
      <c r="A10" s="219" t="inlineStr">
        <is>
          <t>電視廣告</t>
        </is>
      </c>
      <c r="B10" s="508">
        <f>SUM(C10:E10)</f>
        <v/>
      </c>
      <c r="C10" s="581" t="n"/>
      <c r="D10" s="581" t="n"/>
      <c r="E10" s="582" t="n"/>
      <c r="F10" s="539">
        <f>SUM(G10:I10)</f>
        <v/>
      </c>
      <c r="G10" s="581" t="n"/>
      <c r="H10" s="581" t="n"/>
      <c r="I10" s="541" t="n"/>
      <c r="J10" s="538">
        <f>SUM(K10:M10)</f>
        <v/>
      </c>
      <c r="K10" s="581" t="n"/>
      <c r="L10" s="581" t="n"/>
      <c r="M10" s="582" t="n"/>
      <c r="N10" s="539">
        <f>SUM(O10:Q10)</f>
        <v/>
      </c>
      <c r="O10" s="581" t="n"/>
      <c r="P10" s="581" t="n"/>
      <c r="Q10" s="541" t="n"/>
      <c r="R10" s="538">
        <f>B10+F10+J10+N10</f>
        <v/>
      </c>
      <c r="S10" s="581" t="n"/>
      <c r="T10" s="581">
        <f>R10-S10</f>
        <v/>
      </c>
      <c r="U10" s="222">
        <f>T10/R10</f>
        <v/>
      </c>
      <c r="V10" s="583" t="n"/>
    </row>
    <row r="11" ht="14.5" customHeight="1" s="408">
      <c r="A11" s="219" t="inlineStr">
        <is>
          <t>戶外廣告</t>
        </is>
      </c>
      <c r="B11" s="508">
        <f>SUM(C11:E11)</f>
        <v/>
      </c>
      <c r="C11" s="581" t="n"/>
      <c r="D11" s="581" t="n"/>
      <c r="E11" s="582" t="n"/>
      <c r="F11" s="539">
        <f>SUM(G11:I11)</f>
        <v/>
      </c>
      <c r="G11" s="581" t="n"/>
      <c r="H11" s="581" t="n"/>
      <c r="I11" s="541" t="n"/>
      <c r="J11" s="538">
        <f>SUM(K11:M11)</f>
        <v/>
      </c>
      <c r="K11" s="581" t="n"/>
      <c r="L11" s="581" t="n"/>
      <c r="M11" s="582" t="n"/>
      <c r="N11" s="539">
        <f>SUM(O11:Q11)</f>
        <v/>
      </c>
      <c r="O11" s="581" t="n"/>
      <c r="P11" s="581" t="n"/>
      <c r="Q11" s="541" t="n"/>
      <c r="R11" s="538">
        <f>B11+F11+J11+N11</f>
        <v/>
      </c>
      <c r="S11" s="581" t="n"/>
      <c r="T11" s="581">
        <f>R11-S11</f>
        <v/>
      </c>
      <c r="U11" s="222">
        <f>T11/R11</f>
        <v/>
      </c>
      <c r="V11" s="583" t="n"/>
    </row>
    <row r="12" ht="14.5" customHeight="1" s="408">
      <c r="A12" s="219" t="inlineStr">
        <is>
          <t>網路廣告</t>
        </is>
      </c>
      <c r="B12" s="508">
        <f>SUM(C12:E12)</f>
        <v/>
      </c>
      <c r="C12" s="581" t="n"/>
      <c r="D12" s="581" t="n"/>
      <c r="E12" s="582" t="n"/>
      <c r="F12" s="539">
        <f>SUM(G12:I12)</f>
        <v/>
      </c>
      <c r="G12" s="581" t="n"/>
      <c r="H12" s="581" t="n"/>
      <c r="I12" s="541" t="n"/>
      <c r="J12" s="538">
        <f>SUM(K12:M12)</f>
        <v/>
      </c>
      <c r="K12" s="581" t="n"/>
      <c r="L12" s="581" t="n"/>
      <c r="M12" s="582" t="n"/>
      <c r="N12" s="539">
        <f>SUM(O12:Q12)</f>
        <v/>
      </c>
      <c r="O12" s="581" t="n"/>
      <c r="P12" s="581" t="n"/>
      <c r="Q12" s="541" t="n"/>
      <c r="R12" s="538">
        <f>B12+F12+J12+N12</f>
        <v/>
      </c>
      <c r="S12" s="581" t="n"/>
      <c r="T12" s="581">
        <f>R12-S12</f>
        <v/>
      </c>
      <c r="U12" s="222">
        <f>T12/R12</f>
        <v/>
      </c>
      <c r="V12" s="583" t="n"/>
    </row>
    <row r="13" ht="14.5" customHeight="1" s="408">
      <c r="A13" s="219" t="inlineStr">
        <is>
          <t>短信廣告</t>
        </is>
      </c>
      <c r="B13" s="508">
        <f>SUM(C13:E13)</f>
        <v/>
      </c>
      <c r="C13" s="581" t="n"/>
      <c r="D13" s="581" t="n"/>
      <c r="E13" s="582" t="n"/>
      <c r="F13" s="539">
        <f>SUM(G13:I13)</f>
        <v/>
      </c>
      <c r="G13" s="581" t="n"/>
      <c r="H13" s="581" t="n"/>
      <c r="I13" s="541" t="n"/>
      <c r="J13" s="538">
        <f>SUM(K13:M13)</f>
        <v/>
      </c>
      <c r="K13" s="581" t="n"/>
      <c r="L13" s="581" t="n"/>
      <c r="M13" s="582" t="n"/>
      <c r="N13" s="539">
        <f>SUM(O13:Q13)</f>
        <v/>
      </c>
      <c r="O13" s="581" t="n"/>
      <c r="P13" s="581" t="n"/>
      <c r="Q13" s="541" t="n"/>
      <c r="R13" s="538">
        <f>B13+F13+J13+N13</f>
        <v/>
      </c>
      <c r="S13" s="581" t="n"/>
      <c r="T13" s="581">
        <f>R13-S13</f>
        <v/>
      </c>
      <c r="U13" s="222">
        <f>T13/R13</f>
        <v/>
      </c>
      <c r="V13" s="583" t="n"/>
    </row>
    <row r="14" ht="14.5" customHeight="1" s="408">
      <c r="A14" s="219" t="inlineStr">
        <is>
          <t>其他廣告(道旗)</t>
        </is>
      </c>
      <c r="B14" s="508">
        <f>SUM(C14:E14)</f>
        <v/>
      </c>
      <c r="C14" s="581" t="n"/>
      <c r="D14" s="581" t="n"/>
      <c r="E14" s="582" t="n"/>
      <c r="F14" s="539">
        <f>SUM(G14:I14)</f>
        <v/>
      </c>
      <c r="G14" s="581" t="n"/>
      <c r="H14" s="581" t="n"/>
      <c r="I14" s="541" t="n"/>
      <c r="J14" s="538">
        <f>SUM(K14:M14)</f>
        <v/>
      </c>
      <c r="K14" s="581" t="n"/>
      <c r="L14" s="581" t="n"/>
      <c r="M14" s="582" t="n"/>
      <c r="N14" s="539">
        <f>SUM(O14:Q14)</f>
        <v/>
      </c>
      <c r="O14" s="581" t="n"/>
      <c r="P14" s="581" t="n"/>
      <c r="Q14" s="541" t="n"/>
      <c r="R14" s="538">
        <f>B14+F14+J14+N14</f>
        <v/>
      </c>
      <c r="S14" s="581" t="n"/>
      <c r="T14" s="581">
        <f>R14-S14</f>
        <v/>
      </c>
      <c r="U14" s="222">
        <f>T14/R14</f>
        <v/>
      </c>
      <c r="V14" s="583" t="n"/>
    </row>
    <row r="15" ht="14.5" customHeight="1" s="408">
      <c r="A15" s="219" t="inlineStr">
        <is>
          <t>活動推廣費</t>
        </is>
      </c>
      <c r="B15" s="508">
        <f>SUM(C15:E15)</f>
        <v/>
      </c>
      <c r="C15" s="581" t="n"/>
      <c r="D15" s="581" t="n"/>
      <c r="E15" s="582" t="n"/>
      <c r="F15" s="539">
        <f>SUM(G15:I15)</f>
        <v/>
      </c>
      <c r="G15" s="581" t="n"/>
      <c r="H15" s="581" t="n"/>
      <c r="I15" s="541" t="n"/>
      <c r="J15" s="538">
        <f>SUM(K15:M15)</f>
        <v/>
      </c>
      <c r="K15" s="581" t="n"/>
      <c r="L15" s="581" t="n"/>
      <c r="M15" s="582" t="n"/>
      <c r="N15" s="539">
        <f>SUM(O15:Q15)</f>
        <v/>
      </c>
      <c r="O15" s="581" t="n"/>
      <c r="P15" s="581" t="n"/>
      <c r="Q15" s="541" t="n"/>
      <c r="R15" s="538">
        <f>B15+F15+J15+N15</f>
        <v/>
      </c>
      <c r="S15" s="581" t="n"/>
      <c r="T15" s="581">
        <f>R15-S15</f>
        <v/>
      </c>
      <c r="U15" s="222">
        <f>T15/R15</f>
        <v/>
      </c>
      <c r="V15" s="583" t="n"/>
    </row>
    <row r="16" ht="14.5" customHeight="1" s="408">
      <c r="A16" s="219" t="inlineStr">
        <is>
          <t>開盤活動費</t>
        </is>
      </c>
      <c r="B16" s="508">
        <f>SUM(C16:E16)</f>
        <v/>
      </c>
      <c r="C16" s="581" t="n"/>
      <c r="D16" s="581" t="n"/>
      <c r="E16" s="582" t="n"/>
      <c r="F16" s="539">
        <f>SUM(G16:I16)</f>
        <v/>
      </c>
      <c r="G16" s="581" t="n"/>
      <c r="H16" s="581" t="n"/>
      <c r="I16" s="541" t="n"/>
      <c r="J16" s="538">
        <f>SUM(K16:M16)</f>
        <v/>
      </c>
      <c r="K16" s="581" t="n"/>
      <c r="L16" s="581" t="n"/>
      <c r="M16" s="582" t="n"/>
      <c r="N16" s="539">
        <f>SUM(O16:Q16)</f>
        <v/>
      </c>
      <c r="O16" s="581" t="n"/>
      <c r="P16" s="581" t="n"/>
      <c r="Q16" s="541" t="n"/>
      <c r="R16" s="538">
        <f>B16+F16+J16+N16</f>
        <v/>
      </c>
      <c r="S16" s="581" t="n"/>
      <c r="T16" s="581">
        <f>R16-S16</f>
        <v/>
      </c>
      <c r="U16" s="222">
        <f>T16/R16</f>
        <v/>
      </c>
      <c r="V16" s="583" t="n"/>
    </row>
    <row r="17" ht="14.5" customHeight="1" s="408">
      <c r="A17" s="219" t="inlineStr">
        <is>
          <t>促銷活動費</t>
        </is>
      </c>
      <c r="B17" s="508">
        <f>SUM(C17:E17)</f>
        <v/>
      </c>
      <c r="C17" s="581" t="n"/>
      <c r="D17" s="581" t="n"/>
      <c r="E17" s="582" t="n"/>
      <c r="F17" s="539">
        <f>SUM(G17:I17)</f>
        <v/>
      </c>
      <c r="G17" s="581" t="n"/>
      <c r="H17" s="581" t="n"/>
      <c r="I17" s="541" t="n"/>
      <c r="J17" s="538">
        <f>SUM(K17:M17)</f>
        <v/>
      </c>
      <c r="K17" s="581" t="n"/>
      <c r="L17" s="581" t="n"/>
      <c r="M17" s="582" t="n"/>
      <c r="N17" s="539">
        <f>SUM(O17:Q17)</f>
        <v/>
      </c>
      <c r="O17" s="581" t="n"/>
      <c r="P17" s="581" t="n"/>
      <c r="Q17" s="541" t="n"/>
      <c r="R17" s="538">
        <f>B17+F17+J17+N17</f>
        <v/>
      </c>
      <c r="S17" s="581" t="n"/>
      <c r="T17" s="581">
        <f>R17-S17</f>
        <v/>
      </c>
      <c r="U17" s="222">
        <f>T17/R17</f>
        <v/>
      </c>
      <c r="V17" s="583" t="n"/>
    </row>
    <row r="18" ht="14.5" customHeight="1" s="408">
      <c r="A18" s="219" t="inlineStr">
        <is>
          <t>展銷會費</t>
        </is>
      </c>
      <c r="B18" s="508">
        <f>SUM(C18:E18)</f>
        <v/>
      </c>
      <c r="C18" s="581" t="n"/>
      <c r="D18" s="581" t="n"/>
      <c r="E18" s="582" t="n"/>
      <c r="F18" s="539">
        <f>SUM(G18:I18)</f>
        <v/>
      </c>
      <c r="G18" s="581" t="n"/>
      <c r="H18" s="581" t="n"/>
      <c r="I18" s="541" t="n"/>
      <c r="J18" s="538">
        <f>SUM(K18:M18)</f>
        <v/>
      </c>
      <c r="K18" s="581" t="n"/>
      <c r="L18" s="581" t="n"/>
      <c r="M18" s="582" t="n"/>
      <c r="N18" s="539">
        <f>SUM(O18:Q18)</f>
        <v/>
      </c>
      <c r="O18" s="581" t="n"/>
      <c r="P18" s="581" t="n"/>
      <c r="Q18" s="541" t="n"/>
      <c r="R18" s="538">
        <f>B18+F18+J18+N18</f>
        <v/>
      </c>
      <c r="S18" s="581" t="n"/>
      <c r="T18" s="581">
        <f>R18-S18</f>
        <v/>
      </c>
      <c r="U18" s="222">
        <f>T18/R18</f>
        <v/>
      </c>
      <c r="V18" s="583" t="n"/>
    </row>
    <row r="19" ht="14.5" customHeight="1" s="408">
      <c r="A19" s="219" t="inlineStr">
        <is>
          <t>入夥活動費</t>
        </is>
      </c>
      <c r="B19" s="508">
        <f>SUM(C19:E19)</f>
        <v/>
      </c>
      <c r="C19" s="581" t="n"/>
      <c r="D19" s="581" t="n"/>
      <c r="E19" s="582" t="n"/>
      <c r="F19" s="539">
        <f>SUM(G19:I19)</f>
        <v/>
      </c>
      <c r="G19" s="581" t="n"/>
      <c r="H19" s="581" t="n"/>
      <c r="I19" s="541" t="n"/>
      <c r="J19" s="538">
        <f>SUM(K19:M19)</f>
        <v/>
      </c>
      <c r="K19" s="581" t="n"/>
      <c r="L19" s="581" t="n"/>
      <c r="M19" s="582" t="n"/>
      <c r="N19" s="539">
        <f>SUM(O19:Q19)</f>
        <v/>
      </c>
      <c r="O19" s="581" t="n"/>
      <c r="P19" s="581" t="n"/>
      <c r="Q19" s="541" t="n"/>
      <c r="R19" s="538">
        <f>B19+F19+J19+N19</f>
        <v/>
      </c>
      <c r="S19" s="581" t="n"/>
      <c r="T19" s="581">
        <f>R19-S19</f>
        <v/>
      </c>
      <c r="U19" s="222">
        <f>T19/R19</f>
        <v/>
      </c>
      <c r="V19" s="583" t="n"/>
    </row>
    <row r="20" ht="14.5" customHeight="1" s="408">
      <c r="A20" s="219" t="inlineStr">
        <is>
          <t>其他活動推廣費</t>
        </is>
      </c>
      <c r="B20" s="508">
        <f>SUM(C20:E20)</f>
        <v/>
      </c>
      <c r="C20" s="581" t="n"/>
      <c r="D20" s="581" t="n"/>
      <c r="E20" s="582" t="n"/>
      <c r="F20" s="539">
        <f>SUM(G20:I20)</f>
        <v/>
      </c>
      <c r="G20" s="581" t="n"/>
      <c r="H20" s="581" t="n"/>
      <c r="I20" s="541" t="n"/>
      <c r="J20" s="538">
        <f>SUM(K20:M20)</f>
        <v/>
      </c>
      <c r="K20" s="581" t="n"/>
      <c r="L20" s="581" t="n"/>
      <c r="M20" s="582" t="n"/>
      <c r="N20" s="539">
        <f>SUM(O20:Q20)</f>
        <v/>
      </c>
      <c r="O20" s="581" t="n"/>
      <c r="P20" s="581" t="n"/>
      <c r="Q20" s="541" t="n"/>
      <c r="R20" s="538">
        <f>B20+F20+J20+N20</f>
        <v/>
      </c>
      <c r="S20" s="581" t="n"/>
      <c r="T20" s="581">
        <f>R20-S20</f>
        <v/>
      </c>
      <c r="U20" s="222">
        <f>T20/R20</f>
        <v/>
      </c>
      <c r="V20" s="583" t="n"/>
    </row>
    <row r="21" ht="14.5" customHeight="1" s="408">
      <c r="A21" s="219" t="inlineStr">
        <is>
          <t>賣場包裝費</t>
        </is>
      </c>
      <c r="B21" s="508">
        <f>SUM(C21:E21)</f>
        <v/>
      </c>
      <c r="C21" s="581" t="n"/>
      <c r="D21" s="581" t="n"/>
      <c r="E21" s="582" t="n"/>
      <c r="F21" s="539">
        <f>SUM(G21:I21)</f>
        <v/>
      </c>
      <c r="G21" s="581" t="n"/>
      <c r="H21" s="581" t="n"/>
      <c r="I21" s="541" t="n"/>
      <c r="J21" s="538">
        <f>SUM(K21:M21)</f>
        <v/>
      </c>
      <c r="K21" s="581" t="n"/>
      <c r="L21" s="581" t="n"/>
      <c r="M21" s="582" t="n"/>
      <c r="N21" s="539">
        <f>SUM(O21:Q21)</f>
        <v/>
      </c>
      <c r="O21" s="581" t="n"/>
      <c r="P21" s="581" t="n"/>
      <c r="Q21" s="541" t="n"/>
      <c r="R21" s="538">
        <f>B21+F21+J21+N21</f>
        <v/>
      </c>
      <c r="S21" s="581" t="n"/>
      <c r="T21" s="581">
        <f>R21-S21</f>
        <v/>
      </c>
      <c r="U21" s="222">
        <f>T21/R21</f>
        <v/>
      </c>
      <c r="V21" s="583" t="n"/>
    </row>
    <row r="22" ht="14.5" customHeight="1" s="408">
      <c r="A22" s="219" t="inlineStr">
        <is>
          <t xml:space="preserve">售樓處包裝費　</t>
        </is>
      </c>
      <c r="B22" s="508">
        <f>SUM(C22:E22)</f>
        <v/>
      </c>
      <c r="C22" s="581" t="n"/>
      <c r="D22" s="581" t="n"/>
      <c r="E22" s="582" t="n"/>
      <c r="F22" s="539">
        <f>SUM(G22:I22)</f>
        <v/>
      </c>
      <c r="G22" s="581" t="n"/>
      <c r="H22" s="581" t="n"/>
      <c r="I22" s="541" t="n"/>
      <c r="J22" s="538">
        <f>SUM(K22:M22)</f>
        <v/>
      </c>
      <c r="K22" s="581" t="n"/>
      <c r="L22" s="581" t="n"/>
      <c r="M22" s="582" t="n"/>
      <c r="N22" s="539">
        <f>SUM(O22:Q22)</f>
        <v/>
      </c>
      <c r="O22" s="581" t="n"/>
      <c r="P22" s="581" t="n"/>
      <c r="Q22" s="541" t="n"/>
      <c r="R22" s="538">
        <f>B22+F22+J22+N22</f>
        <v/>
      </c>
      <c r="S22" s="581" t="n"/>
      <c r="T22" s="581">
        <f>R22-S22</f>
        <v/>
      </c>
      <c r="U22" s="222">
        <f>T22/R22</f>
        <v/>
      </c>
      <c r="V22" s="583" t="n"/>
    </row>
    <row r="23" ht="14.5" customHeight="1" s="408">
      <c r="A23" s="219" t="inlineStr">
        <is>
          <t>樣板房包裝費</t>
        </is>
      </c>
      <c r="B23" s="508">
        <f>SUM(C23:E23)</f>
        <v/>
      </c>
      <c r="C23" s="581" t="n"/>
      <c r="D23" s="581" t="n"/>
      <c r="E23" s="582" t="n"/>
      <c r="F23" s="539">
        <f>SUM(G23:I23)</f>
        <v/>
      </c>
      <c r="G23" s="581" t="n"/>
      <c r="H23" s="581" t="n"/>
      <c r="I23" s="541" t="n"/>
      <c r="J23" s="538">
        <f>SUM(K23:M23)</f>
        <v/>
      </c>
      <c r="K23" s="581" t="n"/>
      <c r="L23" s="581" t="n"/>
      <c r="M23" s="582" t="n"/>
      <c r="N23" s="539">
        <f>SUM(O23:Q23)</f>
        <v/>
      </c>
      <c r="O23" s="581" t="n"/>
      <c r="P23" s="581" t="n"/>
      <c r="Q23" s="541" t="n"/>
      <c r="R23" s="538">
        <f>B23+F23+J23+N23</f>
        <v/>
      </c>
      <c r="S23" s="581" t="n"/>
      <c r="T23" s="581">
        <f>R23-S23</f>
        <v/>
      </c>
      <c r="U23" s="222">
        <f>T23/R23</f>
        <v/>
      </c>
      <c r="V23" s="583" t="n"/>
    </row>
    <row r="24" ht="14.5" customHeight="1" s="408">
      <c r="A24" s="219" t="inlineStr">
        <is>
          <t>場景包裝費</t>
        </is>
      </c>
      <c r="B24" s="508">
        <f>SUM(C24:E24)</f>
        <v/>
      </c>
      <c r="C24" s="581" t="n"/>
      <c r="D24" s="581" t="n"/>
      <c r="E24" s="582" t="n"/>
      <c r="F24" s="539">
        <f>SUM(G24:I24)</f>
        <v/>
      </c>
      <c r="G24" s="581" t="n"/>
      <c r="H24" s="581" t="n"/>
      <c r="I24" s="541" t="n"/>
      <c r="J24" s="538">
        <f>SUM(K24:M24)</f>
        <v/>
      </c>
      <c r="K24" s="581" t="n"/>
      <c r="L24" s="581" t="n"/>
      <c r="M24" s="582" t="n"/>
      <c r="N24" s="539">
        <f>SUM(O24:Q24)</f>
        <v/>
      </c>
      <c r="O24" s="581" t="n"/>
      <c r="P24" s="581" t="n"/>
      <c r="Q24" s="541" t="n"/>
      <c r="R24" s="538">
        <f>B24+F24+J24+N24</f>
        <v/>
      </c>
      <c r="S24" s="581" t="n"/>
      <c r="T24" s="581">
        <f>R24-S24</f>
        <v/>
      </c>
      <c r="U24" s="222">
        <f>T24/R24</f>
        <v/>
      </c>
      <c r="V24" s="583" t="n"/>
    </row>
    <row r="25" ht="14.5" customHeight="1" s="408">
      <c r="A25" s="219" t="inlineStr">
        <is>
          <t>道具購置費</t>
        </is>
      </c>
      <c r="B25" s="508">
        <f>SUM(C25:E25)</f>
        <v/>
      </c>
      <c r="C25" s="581" t="n"/>
      <c r="D25" s="581" t="n"/>
      <c r="E25" s="582" t="n"/>
      <c r="F25" s="539">
        <f>SUM(G25:I25)</f>
        <v/>
      </c>
      <c r="G25" s="581" t="n"/>
      <c r="H25" s="581" t="n"/>
      <c r="I25" s="541" t="n"/>
      <c r="J25" s="538">
        <f>SUM(K25:M25)</f>
        <v/>
      </c>
      <c r="K25" s="581" t="n"/>
      <c r="L25" s="581" t="n"/>
      <c r="M25" s="582" t="n"/>
      <c r="N25" s="539">
        <f>SUM(O25:Q25)</f>
        <v/>
      </c>
      <c r="O25" s="581" t="n"/>
      <c r="P25" s="581" t="n"/>
      <c r="Q25" s="541" t="n"/>
      <c r="R25" s="538">
        <f>B25+F25+J25+N25</f>
        <v/>
      </c>
      <c r="S25" s="581" t="n"/>
      <c r="T25" s="581">
        <f>R25-S25</f>
        <v/>
      </c>
      <c r="U25" s="222">
        <f>T25/R25</f>
        <v/>
      </c>
      <c r="V25" s="583" t="n"/>
    </row>
    <row r="26" ht="116" customHeight="1" s="408">
      <c r="A26" s="224" t="inlineStr">
        <is>
          <t>其他賣場包裝費
（圍牆及導視牌）</t>
        </is>
      </c>
      <c r="B26" s="508">
        <f>SUM(C26:E26)</f>
        <v/>
      </c>
      <c r="C26" s="581" t="n"/>
      <c r="D26" s="581" t="n"/>
      <c r="E26" s="582" t="n"/>
      <c r="F26" s="539">
        <f>SUM(G26:I26)</f>
        <v/>
      </c>
      <c r="G26" s="581" t="n"/>
      <c r="H26" s="581" t="n"/>
      <c r="I26" s="541" t="n"/>
      <c r="J26" s="538">
        <f>SUM(K26:M26)</f>
        <v/>
      </c>
      <c r="K26" s="581" t="n"/>
      <c r="L26" s="581" t="n"/>
      <c r="M26" s="582" t="n"/>
      <c r="N26" s="539">
        <f>SUM(O26:Q26)</f>
        <v/>
      </c>
      <c r="O26" s="581" t="n"/>
      <c r="P26" s="581" t="n"/>
      <c r="Q26" s="541" t="n"/>
      <c r="R26" s="538">
        <f>B26+F26+J26+N26</f>
        <v/>
      </c>
      <c r="S26" s="581" t="n"/>
      <c r="T26" s="581">
        <f>R26-S26</f>
        <v/>
      </c>
      <c r="U26" s="222">
        <f>T26/R26</f>
        <v/>
      </c>
      <c r="V26" s="583" t="n"/>
    </row>
    <row r="27" ht="14.5" customHeight="1" s="408">
      <c r="A27" s="219" t="inlineStr">
        <is>
          <t>銷售管理費</t>
        </is>
      </c>
      <c r="B27" s="508">
        <f>SUM(C27:E27)</f>
        <v/>
      </c>
      <c r="C27" s="581" t="n"/>
      <c r="D27" s="581" t="n"/>
      <c r="E27" s="582" t="n"/>
      <c r="F27" s="539">
        <f>SUM(G27:I27)</f>
        <v/>
      </c>
      <c r="G27" s="581" t="n"/>
      <c r="H27" s="581" t="n"/>
      <c r="I27" s="541" t="n"/>
      <c r="J27" s="538">
        <f>SUM(K27:M27)</f>
        <v/>
      </c>
      <c r="K27" s="581" t="n"/>
      <c r="L27" s="581" t="n"/>
      <c r="M27" s="582" t="n"/>
      <c r="N27" s="539">
        <f>SUM(O27:Q27)</f>
        <v/>
      </c>
      <c r="O27" s="581" t="n"/>
      <c r="P27" s="581" t="n"/>
      <c r="Q27" s="541" t="n"/>
      <c r="R27" s="538">
        <f>B27+F27+J27+N27</f>
        <v/>
      </c>
      <c r="S27" s="581" t="n"/>
      <c r="T27" s="581">
        <f>R27-S27</f>
        <v/>
      </c>
      <c r="U27" s="222">
        <f>T27/R27</f>
        <v/>
      </c>
      <c r="V27" s="583" t="n"/>
    </row>
    <row r="28" ht="14.5" customHeight="1" s="408">
      <c r="A28" s="219" t="inlineStr">
        <is>
          <t>行銷人員薪酬</t>
        </is>
      </c>
      <c r="B28" s="508">
        <f>SUM(C28:E28)</f>
        <v/>
      </c>
      <c r="C28" s="581" t="n"/>
      <c r="D28" s="581" t="n"/>
      <c r="E28" s="582" t="n"/>
      <c r="F28" s="539">
        <f>SUM(G28:I28)</f>
        <v/>
      </c>
      <c r="G28" s="581" t="n"/>
      <c r="H28" s="581" t="n"/>
      <c r="I28" s="541" t="n"/>
      <c r="J28" s="538">
        <f>SUM(K28:M28)</f>
        <v/>
      </c>
      <c r="K28" s="581" t="n"/>
      <c r="L28" s="581" t="n"/>
      <c r="M28" s="582" t="n"/>
      <c r="N28" s="539">
        <f>SUM(O28:Q28)</f>
        <v/>
      </c>
      <c r="O28" s="581" t="n"/>
      <c r="P28" s="581" t="n"/>
      <c r="Q28" s="541" t="n"/>
      <c r="R28" s="538">
        <f>B28+F28+J28+N28</f>
        <v/>
      </c>
      <c r="S28" s="581" t="n"/>
      <c r="T28" s="581">
        <f>R28-S28</f>
        <v/>
      </c>
      <c r="U28" s="222">
        <f>T28/R28</f>
        <v/>
      </c>
      <c r="V28" s="583" t="n"/>
    </row>
    <row r="29" ht="14.5" customHeight="1" s="408">
      <c r="A29" s="219" t="inlineStr">
        <is>
          <t>賣場物管費</t>
        </is>
      </c>
      <c r="B29" s="508">
        <f>SUM(C29:E29)</f>
        <v/>
      </c>
      <c r="C29" s="581" t="n"/>
      <c r="D29" s="581" t="n"/>
      <c r="E29" s="582" t="n"/>
      <c r="F29" s="539">
        <f>SUM(G29:I29)</f>
        <v/>
      </c>
      <c r="G29" s="581" t="n"/>
      <c r="H29" s="581" t="n"/>
      <c r="I29" s="541" t="n"/>
      <c r="J29" s="538">
        <f>SUM(K29:M29)</f>
        <v/>
      </c>
      <c r="K29" s="581" t="n"/>
      <c r="L29" s="581" t="n"/>
      <c r="M29" s="582" t="n"/>
      <c r="N29" s="539">
        <f>SUM(O29:Q29)</f>
        <v/>
      </c>
      <c r="O29" s="581" t="n"/>
      <c r="P29" s="581" t="n"/>
      <c r="Q29" s="541" t="n"/>
      <c r="R29" s="538">
        <f>B29+F29+J29+N29</f>
        <v/>
      </c>
      <c r="S29" s="581" t="n"/>
      <c r="T29" s="581">
        <f>R29-S29</f>
        <v/>
      </c>
      <c r="U29" s="222">
        <f>T29/R29</f>
        <v/>
      </c>
      <c r="V29" s="583" t="n"/>
    </row>
    <row r="30" ht="14.5" customHeight="1" s="408">
      <c r="A30" s="219" t="inlineStr">
        <is>
          <t>差旅費</t>
        </is>
      </c>
      <c r="B30" s="508">
        <f>SUM(C30:E30)</f>
        <v/>
      </c>
      <c r="C30" s="581" t="n"/>
      <c r="D30" s="581" t="n"/>
      <c r="E30" s="582" t="n"/>
      <c r="F30" s="539">
        <f>SUM(G30:I30)</f>
        <v/>
      </c>
      <c r="G30" s="581" t="n"/>
      <c r="H30" s="581" t="n"/>
      <c r="I30" s="541" t="n"/>
      <c r="J30" s="538">
        <f>SUM(K30:M30)</f>
        <v/>
      </c>
      <c r="K30" s="581" t="n"/>
      <c r="L30" s="581" t="n"/>
      <c r="M30" s="582" t="n"/>
      <c r="N30" s="539">
        <f>SUM(O30:Q30)</f>
        <v/>
      </c>
      <c r="O30" s="581" t="n"/>
      <c r="P30" s="581" t="n"/>
      <c r="Q30" s="541" t="n"/>
      <c r="R30" s="538">
        <f>B30+F30+J30+N30</f>
        <v/>
      </c>
      <c r="S30" s="581" t="n"/>
      <c r="T30" s="581">
        <f>R30-S30</f>
        <v/>
      </c>
      <c r="U30" s="222">
        <f>T30/R30</f>
        <v/>
      </c>
      <c r="V30" s="583" t="n"/>
    </row>
    <row r="31" ht="14.5" customHeight="1" s="408">
      <c r="A31" s="219" t="inlineStr">
        <is>
          <t>銷售辦公費</t>
        </is>
      </c>
      <c r="B31" s="508">
        <f>SUM(C31:E31)</f>
        <v/>
      </c>
      <c r="C31" s="581" t="n"/>
      <c r="D31" s="581" t="n"/>
      <c r="E31" s="582" t="n"/>
      <c r="F31" s="539">
        <f>SUM(G31:I31)</f>
        <v/>
      </c>
      <c r="G31" s="581" t="n"/>
      <c r="H31" s="581" t="n"/>
      <c r="I31" s="541" t="n"/>
      <c r="J31" s="538">
        <f>SUM(K31:M31)</f>
        <v/>
      </c>
      <c r="K31" s="581" t="n"/>
      <c r="L31" s="581" t="n"/>
      <c r="M31" s="582" t="n"/>
      <c r="N31" s="539">
        <f>SUM(O31:Q31)</f>
        <v/>
      </c>
      <c r="O31" s="581" t="n"/>
      <c r="P31" s="581" t="n"/>
      <c r="Q31" s="541" t="n"/>
      <c r="R31" s="538">
        <f>B31+F31+J31+N31</f>
        <v/>
      </c>
      <c r="S31" s="581" t="n"/>
      <c r="T31" s="581">
        <f>R31-S31</f>
        <v/>
      </c>
      <c r="U31" s="222">
        <f>T31/R31</f>
        <v/>
      </c>
      <c r="V31" s="583" t="n"/>
    </row>
    <row r="32" ht="14.5" customHeight="1" s="408">
      <c r="A32" s="219" t="inlineStr">
        <is>
          <t>銷售電話費</t>
        </is>
      </c>
      <c r="B32" s="508">
        <f>SUM(C32:E32)</f>
        <v/>
      </c>
      <c r="C32" s="581" t="n"/>
      <c r="D32" s="581" t="n"/>
      <c r="E32" s="582" t="n"/>
      <c r="F32" s="539">
        <f>SUM(G32:I32)</f>
        <v/>
      </c>
      <c r="G32" s="581" t="n"/>
      <c r="H32" s="581" t="n"/>
      <c r="I32" s="541" t="n"/>
      <c r="J32" s="538">
        <f>SUM(K32:M32)</f>
        <v/>
      </c>
      <c r="K32" s="581" t="n"/>
      <c r="L32" s="581" t="n"/>
      <c r="M32" s="582" t="n"/>
      <c r="N32" s="539">
        <f>SUM(O32:Q32)</f>
        <v/>
      </c>
      <c r="O32" s="581" t="n"/>
      <c r="P32" s="581" t="n"/>
      <c r="Q32" s="541" t="n"/>
      <c r="R32" s="538">
        <f>B32+F32+J32+N32</f>
        <v/>
      </c>
      <c r="S32" s="581" t="n"/>
      <c r="T32" s="581">
        <f>R32-S32</f>
        <v/>
      </c>
      <c r="U32" s="222">
        <f>T32/R32</f>
        <v/>
      </c>
      <c r="V32" s="583" t="n"/>
    </row>
    <row r="33" ht="14.5" customHeight="1" s="408">
      <c r="A33" s="219" t="inlineStr">
        <is>
          <t>銷售水電費</t>
        </is>
      </c>
      <c r="B33" s="508">
        <f>SUM(C33:E33)</f>
        <v/>
      </c>
      <c r="C33" s="581" t="n"/>
      <c r="D33" s="581" t="n"/>
      <c r="E33" s="582" t="n"/>
      <c r="F33" s="539">
        <f>SUM(G33:I33)</f>
        <v/>
      </c>
      <c r="G33" s="581" t="n"/>
      <c r="H33" s="581" t="n"/>
      <c r="I33" s="541" t="n"/>
      <c r="J33" s="538">
        <f>SUM(K33:M33)</f>
        <v/>
      </c>
      <c r="K33" s="581" t="n"/>
      <c r="L33" s="581" t="n"/>
      <c r="M33" s="582" t="n"/>
      <c r="N33" s="539">
        <f>SUM(O33:Q33)</f>
        <v/>
      </c>
      <c r="O33" s="581" t="n"/>
      <c r="P33" s="581" t="n"/>
      <c r="Q33" s="541" t="n"/>
      <c r="R33" s="538">
        <f>B33+F33+J33+N33</f>
        <v/>
      </c>
      <c r="S33" s="581" t="n"/>
      <c r="T33" s="581">
        <f>R33-S33</f>
        <v/>
      </c>
      <c r="U33" s="222">
        <f>T33/R33</f>
        <v/>
      </c>
      <c r="V33" s="583" t="n"/>
    </row>
    <row r="34" ht="14.5" customHeight="1" s="408">
      <c r="A34" s="219" t="inlineStr">
        <is>
          <t>銷售業務費</t>
        </is>
      </c>
      <c r="B34" s="508">
        <f>SUM(C34:E34)</f>
        <v/>
      </c>
      <c r="C34" s="581" t="n"/>
      <c r="D34" s="581" t="n"/>
      <c r="E34" s="582" t="n"/>
      <c r="F34" s="539">
        <f>SUM(G34:I34)</f>
        <v/>
      </c>
      <c r="G34" s="581" t="n"/>
      <c r="H34" s="581" t="n"/>
      <c r="I34" s="541" t="n"/>
      <c r="J34" s="538">
        <f>SUM(K34:M34)</f>
        <v/>
      </c>
      <c r="K34" s="581" t="n"/>
      <c r="L34" s="581" t="n"/>
      <c r="M34" s="582" t="n"/>
      <c r="N34" s="539">
        <f>SUM(O34:Q34)</f>
        <v/>
      </c>
      <c r="O34" s="581" t="n"/>
      <c r="P34" s="581" t="n"/>
      <c r="Q34" s="541" t="n"/>
      <c r="R34" s="538">
        <f>B34+F34+J34+N34</f>
        <v/>
      </c>
      <c r="S34" s="581" t="n"/>
      <c r="T34" s="581">
        <f>R34-S34</f>
        <v/>
      </c>
      <c r="U34" s="222">
        <f>T34/R34</f>
        <v/>
      </c>
      <c r="V34" s="583" t="n"/>
    </row>
    <row r="35" ht="14.5" customHeight="1" s="408">
      <c r="A35" s="219" t="inlineStr">
        <is>
          <t>樣板房費用（管理費）</t>
        </is>
      </c>
      <c r="B35" s="508">
        <f>SUM(C35:E35)</f>
        <v/>
      </c>
      <c r="C35" s="581" t="n"/>
      <c r="D35" s="581" t="n"/>
      <c r="E35" s="582" t="n"/>
      <c r="F35" s="539">
        <f>SUM(G35:I35)</f>
        <v/>
      </c>
      <c r="G35" s="581" t="n"/>
      <c r="H35" s="581" t="n"/>
      <c r="I35" s="541" t="n"/>
      <c r="J35" s="538">
        <f>SUM(K35:M35)</f>
        <v/>
      </c>
      <c r="K35" s="581" t="n"/>
      <c r="L35" s="581" t="n"/>
      <c r="M35" s="582" t="n"/>
      <c r="N35" s="539">
        <f>SUM(O35:Q35)</f>
        <v/>
      </c>
      <c r="O35" s="581" t="n"/>
      <c r="P35" s="581" t="n"/>
      <c r="Q35" s="541" t="n"/>
      <c r="R35" s="538">
        <f>B35+F35+J35+N35</f>
        <v/>
      </c>
      <c r="S35" s="581" t="n"/>
      <c r="T35" s="581">
        <f>R35-S35</f>
        <v/>
      </c>
      <c r="U35" s="222">
        <f>T35/R35</f>
        <v/>
      </c>
      <c r="V35" s="583" t="n"/>
    </row>
    <row r="36" ht="14.5" customHeight="1" s="408">
      <c r="A36" s="219" t="inlineStr">
        <is>
          <t>其他銷售管理費</t>
        </is>
      </c>
      <c r="B36" s="508">
        <f>SUM(C36:E36)</f>
        <v/>
      </c>
      <c r="C36" s="581" t="n"/>
      <c r="D36" s="581" t="n"/>
      <c r="E36" s="582" t="n"/>
      <c r="F36" s="539">
        <f>SUM(G36:I36)</f>
        <v/>
      </c>
      <c r="G36" s="581" t="n"/>
      <c r="H36" s="581" t="n"/>
      <c r="I36" s="541" t="n"/>
      <c r="J36" s="538">
        <f>SUM(K36:M36)</f>
        <v/>
      </c>
      <c r="K36" s="581" t="n"/>
      <c r="L36" s="581" t="n"/>
      <c r="M36" s="582" t="n"/>
      <c r="N36" s="539">
        <f>SUM(O36:Q36)</f>
        <v/>
      </c>
      <c r="O36" s="581" t="n"/>
      <c r="P36" s="581" t="n"/>
      <c r="Q36" s="541" t="n"/>
      <c r="R36" s="538">
        <f>B36+F36+J36+N36</f>
        <v/>
      </c>
      <c r="S36" s="581" t="n"/>
      <c r="T36" s="581">
        <f>R36-S36</f>
        <v/>
      </c>
      <c r="U36" s="222">
        <f>T36/R36</f>
        <v/>
      </c>
      <c r="V36" s="583" t="n"/>
    </row>
    <row r="37" ht="14.5" customHeight="1" s="408">
      <c r="A37" s="219" t="inlineStr">
        <is>
          <t>配套設施費</t>
        </is>
      </c>
      <c r="B37" s="508">
        <f>SUM(C37:E37)</f>
        <v/>
      </c>
      <c r="C37" s="581" t="n"/>
      <c r="D37" s="581" t="n"/>
      <c r="E37" s="582" t="n"/>
      <c r="F37" s="539">
        <f>SUM(G37:I37)</f>
        <v/>
      </c>
      <c r="G37" s="581" t="n"/>
      <c r="H37" s="581" t="n"/>
      <c r="I37" s="541" t="n"/>
      <c r="J37" s="538">
        <f>SUM(K37:M37)</f>
        <v/>
      </c>
      <c r="K37" s="581" t="n"/>
      <c r="L37" s="581" t="n"/>
      <c r="M37" s="582" t="n"/>
      <c r="N37" s="539">
        <f>SUM(O37:Q37)</f>
        <v/>
      </c>
      <c r="O37" s="581" t="n"/>
      <c r="P37" s="581" t="n"/>
      <c r="Q37" s="541" t="n"/>
      <c r="R37" s="538">
        <f>B37+F37+J37+N37</f>
        <v/>
      </c>
      <c r="S37" s="581" t="n"/>
      <c r="T37" s="581">
        <f>R37-S37</f>
        <v/>
      </c>
      <c r="U37" s="222">
        <f>T37/R37</f>
        <v/>
      </c>
      <c r="V37" s="583" t="n"/>
    </row>
    <row r="38" ht="14.5" customHeight="1" s="408">
      <c r="A38" s="219" t="inlineStr">
        <is>
          <t>車輛費</t>
        </is>
      </c>
      <c r="B38" s="508">
        <f>SUM(C38:E38)</f>
        <v/>
      </c>
      <c r="C38" s="581" t="n"/>
      <c r="D38" s="581" t="n"/>
      <c r="E38" s="582" t="n"/>
      <c r="F38" s="539">
        <f>SUM(G38:I38)</f>
        <v/>
      </c>
      <c r="G38" s="581" t="n"/>
      <c r="H38" s="581" t="n"/>
      <c r="I38" s="541" t="n"/>
      <c r="J38" s="538">
        <f>SUM(K38:M38)</f>
        <v/>
      </c>
      <c r="K38" s="581" t="n"/>
      <c r="L38" s="581" t="n"/>
      <c r="M38" s="582" t="n"/>
      <c r="N38" s="539">
        <f>SUM(O38:Q38)</f>
        <v/>
      </c>
      <c r="O38" s="581" t="n"/>
      <c r="P38" s="581" t="n"/>
      <c r="Q38" s="541" t="n"/>
      <c r="R38" s="538">
        <f>B38+F38+J38+N38</f>
        <v/>
      </c>
      <c r="S38" s="581" t="n"/>
      <c r="T38" s="581">
        <f>R38-S38</f>
        <v/>
      </c>
      <c r="U38" s="222">
        <f>T38/R38</f>
        <v/>
      </c>
      <c r="V38" s="583" t="n"/>
    </row>
    <row r="39" ht="14.5" customHeight="1" s="408">
      <c r="A39" s="219" t="inlineStr">
        <is>
          <t>其他配套設施費</t>
        </is>
      </c>
      <c r="B39" s="508">
        <f>SUM(C39:E39)</f>
        <v/>
      </c>
      <c r="C39" s="581" t="n"/>
      <c r="D39" s="581" t="n"/>
      <c r="E39" s="582" t="n"/>
      <c r="F39" s="539">
        <f>SUM(G39:I39)</f>
        <v/>
      </c>
      <c r="G39" s="581" t="n"/>
      <c r="H39" s="581" t="n"/>
      <c r="I39" s="541" t="n"/>
      <c r="J39" s="538">
        <f>SUM(K39:M39)</f>
        <v/>
      </c>
      <c r="K39" s="581" t="n"/>
      <c r="L39" s="581" t="n"/>
      <c r="M39" s="582" t="n"/>
      <c r="N39" s="539">
        <f>SUM(O39:Q39)</f>
        <v/>
      </c>
      <c r="O39" s="581" t="n"/>
      <c r="P39" s="581" t="n"/>
      <c r="Q39" s="541" t="n"/>
      <c r="R39" s="538">
        <f>B39+F39+J39+N39</f>
        <v/>
      </c>
      <c r="S39" s="581" t="n"/>
      <c r="T39" s="581">
        <f>R39-S39</f>
        <v/>
      </c>
      <c r="U39" s="222">
        <f>T39/R39</f>
        <v/>
      </c>
      <c r="V39" s="583" t="n"/>
    </row>
    <row r="40" ht="14.5" customHeight="1" s="408">
      <c r="A40" s="219" t="inlineStr">
        <is>
          <t>諮詢代理費</t>
        </is>
      </c>
      <c r="B40" s="508">
        <f>SUM(C40:E40)</f>
        <v/>
      </c>
      <c r="C40" s="581" t="n"/>
      <c r="D40" s="581" t="n"/>
      <c r="E40" s="582" t="n"/>
      <c r="F40" s="539">
        <f>SUM(G40:I40)</f>
        <v/>
      </c>
      <c r="G40" s="581" t="n"/>
      <c r="H40" s="581" t="n"/>
      <c r="I40" s="541" t="n"/>
      <c r="J40" s="538">
        <f>SUM(K40:M40)</f>
        <v/>
      </c>
      <c r="K40" s="581" t="n"/>
      <c r="L40" s="581" t="n"/>
      <c r="M40" s="582" t="n"/>
      <c r="N40" s="539">
        <f>SUM(O40:Q40)</f>
        <v/>
      </c>
      <c r="O40" s="581" t="n"/>
      <c r="P40" s="581" t="n"/>
      <c r="Q40" s="541" t="n"/>
      <c r="R40" s="538">
        <f>B40+F40+J40+N40</f>
        <v/>
      </c>
      <c r="S40" s="581" t="n"/>
      <c r="T40" s="581">
        <f>R40-S40</f>
        <v/>
      </c>
      <c r="U40" s="222">
        <f>T40/R40</f>
        <v/>
      </c>
      <c r="V40" s="583" t="n"/>
    </row>
    <row r="41" ht="14.5" customHeight="1" s="408">
      <c r="A41" s="219" t="inlineStr">
        <is>
          <t>策劃諮詢費</t>
        </is>
      </c>
      <c r="B41" s="508">
        <f>SUM(C41:E41)</f>
        <v/>
      </c>
      <c r="C41" s="581" t="n"/>
      <c r="D41" s="581" t="n"/>
      <c r="E41" s="582" t="n"/>
      <c r="F41" s="539">
        <f>SUM(G41:I41)</f>
        <v/>
      </c>
      <c r="G41" s="581" t="n"/>
      <c r="H41" s="581" t="n"/>
      <c r="I41" s="541" t="n"/>
      <c r="J41" s="538">
        <f>SUM(K41:M41)</f>
        <v/>
      </c>
      <c r="K41" s="581" t="n"/>
      <c r="L41" s="581" t="n"/>
      <c r="M41" s="582" t="n"/>
      <c r="N41" s="539">
        <f>SUM(O41:Q41)</f>
        <v/>
      </c>
      <c r="O41" s="581" t="n"/>
      <c r="P41" s="581" t="n"/>
      <c r="Q41" s="541" t="n"/>
      <c r="R41" s="538">
        <f>B41+F41+J41+N41</f>
        <v/>
      </c>
      <c r="S41" s="581" t="n"/>
      <c r="T41" s="581">
        <f>R41-S41</f>
        <v/>
      </c>
      <c r="U41" s="222">
        <f>T41/R41</f>
        <v/>
      </c>
      <c r="V41" s="583" t="n"/>
    </row>
    <row r="42" ht="14.5" customHeight="1" s="408">
      <c r="A42" s="219" t="inlineStr">
        <is>
          <t>代理傭金</t>
        </is>
      </c>
      <c r="B42" s="508">
        <f>SUM(C42:E42)</f>
        <v/>
      </c>
      <c r="C42" s="581" t="n"/>
      <c r="D42" s="581" t="n"/>
      <c r="E42" s="582" t="n"/>
      <c r="F42" s="539">
        <f>SUM(G42:I42)</f>
        <v/>
      </c>
      <c r="G42" s="581" t="n"/>
      <c r="H42" s="581" t="n"/>
      <c r="I42" s="541" t="n"/>
      <c r="J42" s="538">
        <f>SUM(K42:M42)</f>
        <v/>
      </c>
      <c r="K42" s="581" t="n"/>
      <c r="L42" s="581" t="n"/>
      <c r="M42" s="582" t="n"/>
      <c r="N42" s="539">
        <f>SUM(O42:Q42)</f>
        <v/>
      </c>
      <c r="O42" s="581" t="n"/>
      <c r="P42" s="581" t="n"/>
      <c r="Q42" s="541" t="n"/>
      <c r="R42" s="538">
        <f>B42+F42+J42+N42</f>
        <v/>
      </c>
      <c r="S42" s="581" t="n"/>
      <c r="T42" s="581">
        <f>R42-S42</f>
        <v/>
      </c>
      <c r="U42" s="222">
        <f>T42/R42</f>
        <v/>
      </c>
      <c r="V42" s="583" t="n"/>
    </row>
    <row r="43" ht="101.5" customHeight="1" s="408">
      <c r="A43" s="224" t="inlineStr">
        <is>
          <t>其他諮詢代理費(廣告
公司費用)</t>
        </is>
      </c>
      <c r="B43" s="508">
        <f>SUM(C43:E43)</f>
        <v/>
      </c>
      <c r="C43" s="581" t="n"/>
      <c r="D43" s="581" t="n"/>
      <c r="E43" s="582" t="n"/>
      <c r="F43" s="539">
        <f>SUM(G43:I43)</f>
        <v/>
      </c>
      <c r="G43" s="581" t="n"/>
      <c r="H43" s="581" t="n"/>
      <c r="I43" s="541" t="n"/>
      <c r="J43" s="538">
        <f>SUM(K43:M43)</f>
        <v/>
      </c>
      <c r="K43" s="581" t="n"/>
      <c r="L43" s="581" t="n"/>
      <c r="M43" s="582" t="n"/>
      <c r="N43" s="539">
        <f>SUM(O43:Q43)</f>
        <v/>
      </c>
      <c r="O43" s="581" t="n"/>
      <c r="P43" s="581" t="n"/>
      <c r="Q43" s="541" t="n"/>
      <c r="R43" s="538">
        <f>B43+F43+J43+N43</f>
        <v/>
      </c>
      <c r="S43" s="581" t="n"/>
      <c r="T43" s="581">
        <f>R43-S43</f>
        <v/>
      </c>
      <c r="U43" s="222">
        <f>T43/R43</f>
        <v/>
      </c>
      <c r="V43" s="583" t="n"/>
    </row>
    <row r="44" ht="14.5" customHeight="1" s="408">
      <c r="A44" s="219" t="inlineStr">
        <is>
          <t>簽約律師代理費</t>
        </is>
      </c>
      <c r="B44" s="508">
        <f>SUM(C44:E44)</f>
        <v/>
      </c>
      <c r="C44" s="581" t="n"/>
      <c r="D44" s="581" t="n"/>
      <c r="E44" s="582" t="n"/>
      <c r="F44" s="539">
        <f>SUM(G44:I44)</f>
        <v/>
      </c>
      <c r="G44" s="581" t="n"/>
      <c r="H44" s="581" t="n"/>
      <c r="I44" s="541" t="n"/>
      <c r="J44" s="538">
        <f>SUM(K44:M44)</f>
        <v/>
      </c>
      <c r="K44" s="581" t="n"/>
      <c r="L44" s="581" t="n"/>
      <c r="M44" s="582" t="n"/>
      <c r="N44" s="539">
        <f>SUM(O44:Q44)</f>
        <v/>
      </c>
      <c r="O44" s="581" t="n"/>
      <c r="P44" s="581" t="n"/>
      <c r="Q44" s="541" t="n"/>
      <c r="R44" s="538">
        <f>B44+F44+J44+N44</f>
        <v/>
      </c>
      <c r="S44" s="581" t="n"/>
      <c r="T44" s="581">
        <f>R44-S44</f>
        <v/>
      </c>
      <c r="U44" s="222">
        <f>T44/R44</f>
        <v/>
      </c>
      <c r="V44" s="583" t="n"/>
    </row>
    <row r="45" ht="116" customHeight="1" s="408">
      <c r="A45" s="224" t="inlineStr">
        <is>
          <t>其他行銷費(固定分攤、
不可預見費用)</t>
        </is>
      </c>
      <c r="B45" s="508">
        <f>SUM(C45:E45)</f>
        <v/>
      </c>
      <c r="C45" s="581" t="n"/>
      <c r="D45" s="581" t="n"/>
      <c r="E45" s="582" t="n"/>
      <c r="F45" s="539">
        <f>SUM(G45:I45)</f>
        <v/>
      </c>
      <c r="G45" s="581" t="n"/>
      <c r="H45" s="581" t="n"/>
      <c r="I45" s="541" t="n"/>
      <c r="J45" s="538">
        <f>SUM(K45:M45)</f>
        <v/>
      </c>
      <c r="K45" s="581" t="n"/>
      <c r="L45" s="581" t="n"/>
      <c r="M45" s="582" t="n"/>
      <c r="N45" s="539">
        <f>SUM(O45:Q45)</f>
        <v/>
      </c>
      <c r="O45" s="581" t="n"/>
      <c r="P45" s="581" t="n"/>
      <c r="Q45" s="541" t="n"/>
      <c r="R45" s="538">
        <f>B45+F45+J45+N45</f>
        <v/>
      </c>
      <c r="S45" s="581" t="n"/>
      <c r="T45" s="581">
        <f>R45-S45</f>
        <v/>
      </c>
      <c r="U45" s="222">
        <f>T45/R45</f>
        <v/>
      </c>
      <c r="V45" s="583" t="n"/>
    </row>
    <row r="46" ht="14.5" customHeight="1" s="408">
      <c r="A46" s="219" t="inlineStr">
        <is>
          <t>售後服務費用</t>
        </is>
      </c>
      <c r="B46" s="508">
        <f>SUM(C46:E46)</f>
        <v/>
      </c>
      <c r="C46" s="581" t="n"/>
      <c r="D46" s="581" t="n"/>
      <c r="E46" s="582" t="n"/>
      <c r="F46" s="539">
        <f>SUM(G46:I46)</f>
        <v/>
      </c>
      <c r="G46" s="581" t="n"/>
      <c r="H46" s="581" t="n"/>
      <c r="I46" s="541" t="n"/>
      <c r="J46" s="538">
        <f>SUM(K46:M46)</f>
        <v/>
      </c>
      <c r="K46" s="581" t="n"/>
      <c r="L46" s="581" t="n"/>
      <c r="M46" s="582" t="n"/>
      <c r="N46" s="539">
        <f>SUM(O46:Q46)</f>
        <v/>
      </c>
      <c r="O46" s="581" t="n"/>
      <c r="P46" s="581" t="n"/>
      <c r="Q46" s="541" t="n"/>
      <c r="R46" s="538">
        <f>B46+F46+J46+N46</f>
        <v/>
      </c>
      <c r="S46" s="581" t="n"/>
      <c r="T46" s="581">
        <f>R46-S46</f>
        <v/>
      </c>
      <c r="U46" s="222">
        <f>T46/R46</f>
        <v/>
      </c>
      <c r="V46" s="583" t="n"/>
    </row>
    <row r="47" ht="14.5" customHeight="1" s="408">
      <c r="A47" s="219" t="inlineStr">
        <is>
          <t>售後維修費</t>
        </is>
      </c>
      <c r="B47" s="508">
        <f>SUM(C47:E47)</f>
        <v/>
      </c>
      <c r="C47" s="581" t="n"/>
      <c r="D47" s="581" t="n"/>
      <c r="E47" s="582" t="n"/>
      <c r="F47" s="539">
        <f>SUM(G47:I47)</f>
        <v/>
      </c>
      <c r="G47" s="581" t="n"/>
      <c r="H47" s="581" t="n"/>
      <c r="I47" s="541" t="n"/>
      <c r="J47" s="538">
        <f>SUM(K47:M47)</f>
        <v/>
      </c>
      <c r="K47" s="581" t="n"/>
      <c r="L47" s="581" t="n"/>
      <c r="M47" s="582" t="n"/>
      <c r="N47" s="539">
        <f>SUM(O47:Q47)</f>
        <v/>
      </c>
      <c r="O47" s="581" t="n"/>
      <c r="P47" s="581" t="n"/>
      <c r="Q47" s="541" t="n"/>
      <c r="R47" s="538">
        <f>B47+F47+J47+N47</f>
        <v/>
      </c>
      <c r="S47" s="581" t="n"/>
      <c r="T47" s="581">
        <f>R47-S47</f>
        <v/>
      </c>
      <c r="U47" s="222">
        <f>T47/R47</f>
        <v/>
      </c>
      <c r="V47" s="583" t="n"/>
    </row>
    <row r="48" ht="14.5" customHeight="1" s="408">
      <c r="A48" s="219" t="inlineStr">
        <is>
          <t>業主索賠損失</t>
        </is>
      </c>
      <c r="B48" s="508">
        <f>SUM(C48:E48)</f>
        <v/>
      </c>
      <c r="C48" s="581" t="n"/>
      <c r="D48" s="581" t="n"/>
      <c r="E48" s="582" t="n"/>
      <c r="F48" s="539">
        <f>SUM(G48:I48)</f>
        <v/>
      </c>
      <c r="G48" s="581" t="n"/>
      <c r="H48" s="581" t="n"/>
      <c r="I48" s="541" t="n"/>
      <c r="J48" s="538">
        <f>SUM(K48:M48)</f>
        <v/>
      </c>
      <c r="K48" s="581" t="n"/>
      <c r="L48" s="581" t="n"/>
      <c r="M48" s="582" t="n"/>
      <c r="N48" s="539">
        <f>SUM(O48:Q48)</f>
        <v/>
      </c>
      <c r="O48" s="581" t="n"/>
      <c r="P48" s="581" t="n"/>
      <c r="Q48" s="541" t="n"/>
      <c r="R48" s="538">
        <f>B48+F48+J48+N48</f>
        <v/>
      </c>
      <c r="S48" s="581" t="n"/>
      <c r="T48" s="581">
        <f>R48-S48</f>
        <v/>
      </c>
      <c r="U48" s="222">
        <f>T48/R48</f>
        <v/>
      </c>
      <c r="V48" s="583" t="n"/>
    </row>
    <row r="49" ht="14.5" customHeight="1" s="408">
      <c r="A49" s="219" t="inlineStr">
        <is>
          <t>其他售後服務費</t>
        </is>
      </c>
      <c r="B49" s="508">
        <f>SUM(C49:E49)</f>
        <v/>
      </c>
      <c r="C49" s="581" t="n"/>
      <c r="D49" s="581" t="n"/>
      <c r="E49" s="582" t="n"/>
      <c r="F49" s="539">
        <f>SUM(G49:I49)</f>
        <v/>
      </c>
      <c r="G49" s="581" t="n"/>
      <c r="H49" s="581" t="n"/>
      <c r="I49" s="541" t="n"/>
      <c r="J49" s="538">
        <f>SUM(K49:M49)</f>
        <v/>
      </c>
      <c r="K49" s="581" t="n"/>
      <c r="L49" s="581" t="n"/>
      <c r="M49" s="582" t="n"/>
      <c r="N49" s="539">
        <f>SUM(O49:Q49)</f>
        <v/>
      </c>
      <c r="O49" s="581" t="n"/>
      <c r="P49" s="581" t="n"/>
      <c r="Q49" s="541" t="n"/>
      <c r="R49" s="538">
        <f>B49+F49+J49+N49</f>
        <v/>
      </c>
      <c r="S49" s="581" t="n"/>
      <c r="T49" s="581">
        <f>R49-S49</f>
        <v/>
      </c>
      <c r="U49" s="222">
        <f>T49/R49</f>
        <v/>
      </c>
      <c r="V49" s="583" t="n"/>
    </row>
    <row r="50" ht="14.5" customHeight="1" s="408">
      <c r="A50" s="219" t="inlineStr">
        <is>
          <t>物業補償費用</t>
        </is>
      </c>
      <c r="B50" s="508">
        <f>SUM(C50:E50)</f>
        <v/>
      </c>
      <c r="C50" s="581" t="n"/>
      <c r="D50" s="581" t="n"/>
      <c r="E50" s="582" t="n"/>
      <c r="F50" s="539">
        <f>SUM(G50:I50)</f>
        <v/>
      </c>
      <c r="G50" s="581" t="n"/>
      <c r="H50" s="581" t="n"/>
      <c r="I50" s="541" t="n"/>
      <c r="J50" s="538">
        <f>SUM(K50:M50)</f>
        <v/>
      </c>
      <c r="K50" s="581" t="n"/>
      <c r="L50" s="581" t="n"/>
      <c r="M50" s="582" t="n"/>
      <c r="N50" s="539">
        <f>SUM(O50:Q50)</f>
        <v/>
      </c>
      <c r="O50" s="581" t="n"/>
      <c r="P50" s="581" t="n"/>
      <c r="Q50" s="541" t="n"/>
      <c r="R50" s="538">
        <f>B50+F50+J50+N50</f>
        <v/>
      </c>
      <c r="S50" s="581" t="n"/>
      <c r="T50" s="581">
        <f>R50-S50</f>
        <v/>
      </c>
      <c r="U50" s="222">
        <f>T50/R50</f>
        <v/>
      </c>
      <c r="V50" s="583" t="n"/>
    </row>
    <row r="51" ht="14.5" customHeight="1" s="408">
      <c r="A51" s="219" t="inlineStr">
        <is>
          <t>空置物業管理費</t>
        </is>
      </c>
      <c r="B51" s="508">
        <f>SUM(C51:E51)</f>
        <v/>
      </c>
      <c r="C51" s="581" t="n"/>
      <c r="D51" s="581" t="n"/>
      <c r="E51" s="582" t="n"/>
      <c r="F51" s="539">
        <f>SUM(G51:I51)</f>
        <v/>
      </c>
      <c r="G51" s="581" t="n"/>
      <c r="H51" s="581" t="n"/>
      <c r="I51" s="541" t="n"/>
      <c r="J51" s="538">
        <f>SUM(K51:M51)</f>
        <v/>
      </c>
      <c r="K51" s="581" t="n"/>
      <c r="L51" s="581" t="n"/>
      <c r="M51" s="582" t="n"/>
      <c r="N51" s="539">
        <f>SUM(O51:Q51)</f>
        <v/>
      </c>
      <c r="O51" s="581" t="n"/>
      <c r="P51" s="581" t="n"/>
      <c r="Q51" s="541" t="n"/>
      <c r="R51" s="538">
        <f>B51+F51+J51+N51</f>
        <v/>
      </c>
      <c r="S51" s="581" t="n"/>
      <c r="T51" s="581">
        <f>R51-S51</f>
        <v/>
      </c>
      <c r="U51" s="222">
        <f>T51/R51</f>
        <v/>
      </c>
      <c r="V51" s="583" t="n"/>
    </row>
    <row r="52" ht="14.5" customHeight="1" s="408">
      <c r="A52" s="219" t="inlineStr">
        <is>
          <t>物業管理開支補貼</t>
        </is>
      </c>
      <c r="B52" s="508">
        <f>SUM(C52:E52)</f>
        <v/>
      </c>
      <c r="C52" s="581" t="n"/>
      <c r="D52" s="581" t="n"/>
      <c r="E52" s="582" t="n"/>
      <c r="F52" s="539">
        <f>SUM(G52:I52)</f>
        <v/>
      </c>
      <c r="G52" s="581" t="n"/>
      <c r="H52" s="581" t="n"/>
      <c r="I52" s="541" t="n"/>
      <c r="J52" s="538">
        <f>SUM(K52:M52)</f>
        <v/>
      </c>
      <c r="K52" s="581" t="n"/>
      <c r="L52" s="581" t="n"/>
      <c r="M52" s="582" t="n"/>
      <c r="N52" s="539">
        <f>SUM(O52:Q52)</f>
        <v/>
      </c>
      <c r="O52" s="581" t="n"/>
      <c r="P52" s="581" t="n"/>
      <c r="Q52" s="541" t="n"/>
      <c r="R52" s="538">
        <f>B52+F52+J52+N52</f>
        <v/>
      </c>
      <c r="S52" s="581" t="n"/>
      <c r="T52" s="581">
        <f>R52-S52</f>
        <v/>
      </c>
      <c r="U52" s="222">
        <f>T52/R52</f>
        <v/>
      </c>
      <c r="V52" s="583" t="n"/>
    </row>
    <row r="53" ht="14.5" customHeight="1" s="408">
      <c r="A53" s="219" t="inlineStr">
        <is>
          <t>物業專項補貼</t>
        </is>
      </c>
      <c r="B53" s="508">
        <f>SUM(C53:E53)</f>
        <v/>
      </c>
      <c r="C53" s="581" t="n"/>
      <c r="D53" s="581" t="n"/>
      <c r="E53" s="582" t="n"/>
      <c r="F53" s="539">
        <f>SUM(G53:I53)</f>
        <v/>
      </c>
      <c r="G53" s="581" t="n"/>
      <c r="H53" s="581" t="n"/>
      <c r="I53" s="541" t="n"/>
      <c r="J53" s="538">
        <f>SUM(K53:M53)</f>
        <v/>
      </c>
      <c r="K53" s="581" t="n"/>
      <c r="L53" s="581" t="n"/>
      <c r="M53" s="582" t="n"/>
      <c r="N53" s="539">
        <f>SUM(O53:Q53)</f>
        <v/>
      </c>
      <c r="O53" s="581" t="n"/>
      <c r="P53" s="581" t="n"/>
      <c r="Q53" s="541" t="n"/>
      <c r="R53" s="538">
        <f>B53+F53+J53+N53</f>
        <v/>
      </c>
      <c r="S53" s="584" t="n"/>
      <c r="T53" s="581">
        <f>R53-S53</f>
        <v/>
      </c>
      <c r="U53" s="222">
        <f>T53/R53</f>
        <v/>
      </c>
      <c r="V53" s="583" t="n"/>
    </row>
    <row r="54" ht="14.5" customHeight="1" s="408">
      <c r="A54" s="219" t="inlineStr">
        <is>
          <t>其他物業補償費</t>
        </is>
      </c>
      <c r="B54" s="508">
        <f>SUM(C54:E54)</f>
        <v/>
      </c>
      <c r="C54" s="581" t="n"/>
      <c r="D54" s="581" t="n"/>
      <c r="E54" s="582" t="n"/>
      <c r="F54" s="539">
        <f>SUM(G54:I54)</f>
        <v/>
      </c>
      <c r="G54" s="581" t="n"/>
      <c r="H54" s="581" t="n"/>
      <c r="I54" s="541" t="n"/>
      <c r="J54" s="538">
        <f>SUM(K54:M54)</f>
        <v/>
      </c>
      <c r="K54" s="581" t="n"/>
      <c r="L54" s="581" t="n"/>
      <c r="M54" s="582" t="n"/>
      <c r="N54" s="539">
        <f>SUM(O54:Q54)</f>
        <v/>
      </c>
      <c r="O54" s="581" t="n"/>
      <c r="P54" s="581" t="n"/>
      <c r="Q54" s="541" t="n"/>
      <c r="R54" s="538">
        <f>B54+F54+J54+N54</f>
        <v/>
      </c>
      <c r="S54" s="581" t="n"/>
      <c r="T54" s="581">
        <f>R54-S54</f>
        <v/>
      </c>
      <c r="U54" s="222">
        <f>T54/R54</f>
        <v/>
      </c>
      <c r="V54" s="583" t="n"/>
    </row>
    <row r="55" ht="14.5" customHeight="1" s="408">
      <c r="A55" s="219" t="inlineStr">
        <is>
          <t>其他銷售費用</t>
        </is>
      </c>
      <c r="B55" s="508">
        <f>SUM(C55:E55)</f>
        <v/>
      </c>
      <c r="C55" s="581" t="n"/>
      <c r="D55" s="581" t="n"/>
      <c r="E55" s="582" t="n"/>
      <c r="F55" s="539">
        <f>SUM(G55:I55)</f>
        <v/>
      </c>
      <c r="G55" s="581" t="n"/>
      <c r="H55" s="581" t="n"/>
      <c r="I55" s="541" t="n"/>
      <c r="J55" s="538">
        <f>SUM(K55:M55)</f>
        <v/>
      </c>
      <c r="K55" s="581" t="n"/>
      <c r="L55" s="581" t="n"/>
      <c r="M55" s="582" t="n"/>
      <c r="N55" s="539">
        <f>SUM(O55:Q55)</f>
        <v/>
      </c>
      <c r="O55" s="581" t="n"/>
      <c r="P55" s="581" t="n"/>
      <c r="Q55" s="541" t="n"/>
      <c r="R55" s="538">
        <f>B55+F55+J55+N55</f>
        <v/>
      </c>
      <c r="S55" s="581" t="n"/>
      <c r="T55" s="581">
        <f>R55-S55</f>
        <v/>
      </c>
      <c r="U55" s="222">
        <f>T55/R55</f>
        <v/>
      </c>
      <c r="V55" s="583" t="n"/>
    </row>
    <row r="56" ht="14.5" customHeight="1" s="408">
      <c r="A56" s="226" t="inlineStr">
        <is>
          <t>小計</t>
        </is>
      </c>
      <c r="B56" s="585">
        <f>SUM(C56:E56)</f>
        <v/>
      </c>
      <c r="C56" s="586">
        <f>SUM(C6:C55)</f>
        <v/>
      </c>
      <c r="D56" s="586">
        <f>SUM(D6:D55)</f>
        <v/>
      </c>
      <c r="E56" s="587">
        <f>SUM(E6:E55)</f>
        <v/>
      </c>
      <c r="F56" s="588">
        <f>SUM(G56:I56)</f>
        <v/>
      </c>
      <c r="G56" s="586">
        <f>SUM(G6:G55)</f>
        <v/>
      </c>
      <c r="H56" s="586">
        <f>SUM(H6:H55)</f>
        <v/>
      </c>
      <c r="I56" s="587">
        <f>SUM(I6:I55)</f>
        <v/>
      </c>
      <c r="J56" s="588">
        <f>SUM(K56:M56)</f>
        <v/>
      </c>
      <c r="K56" s="586">
        <f>SUM(K6:K55)</f>
        <v/>
      </c>
      <c r="L56" s="586">
        <f>SUM(L6:L55)</f>
        <v/>
      </c>
      <c r="M56" s="586">
        <f>SUM(M6:M55)</f>
        <v/>
      </c>
      <c r="N56" s="588">
        <f>SUM(O56:Q56)</f>
        <v/>
      </c>
      <c r="O56" s="586">
        <f>SUM(O6:O55)</f>
        <v/>
      </c>
      <c r="P56" s="585">
        <f>SUM(P6:P55)</f>
        <v/>
      </c>
      <c r="Q56" s="586">
        <f>SUM(Q6:Q55)</f>
        <v/>
      </c>
      <c r="R56" s="547">
        <f>SUM(R6:R55)</f>
        <v/>
      </c>
      <c r="S56" s="586" t="n"/>
      <c r="T56" s="545">
        <f>SUM(T6:T55)</f>
        <v/>
      </c>
      <c r="U56" s="231">
        <f>T56/R56</f>
        <v/>
      </c>
      <c r="V56" s="589" t="n"/>
    </row>
    <row r="57" ht="14.5" customHeight="1" s="408">
      <c r="A57" s="233" t="inlineStr">
        <is>
          <t>非現金支出專案</t>
        </is>
      </c>
      <c r="B57" s="536" t="n"/>
      <c r="C57" s="590" t="n"/>
      <c r="D57" s="590" t="n"/>
      <c r="E57" s="591" t="n"/>
      <c r="F57" s="536" t="n"/>
      <c r="G57" s="592" t="n"/>
      <c r="H57" s="592" t="n"/>
      <c r="I57" s="593" t="n"/>
      <c r="J57" s="532" t="n"/>
      <c r="K57" s="592" t="n"/>
      <c r="L57" s="592" t="n"/>
      <c r="M57" s="594" t="n"/>
      <c r="N57" s="536" t="n"/>
      <c r="O57" s="592" t="n"/>
      <c r="P57" s="592" t="n"/>
      <c r="Q57" s="593" t="n"/>
      <c r="R57" s="505">
        <f>B57+F57+J57+N57</f>
        <v/>
      </c>
      <c r="S57" s="592" t="n"/>
      <c r="T57" s="595">
        <f>R57-S57</f>
        <v/>
      </c>
      <c r="U57" s="217">
        <f>T57/R57</f>
        <v/>
      </c>
      <c r="V57" s="596" t="n"/>
    </row>
    <row r="58" ht="14.5" customHeight="1" s="408">
      <c r="A58" s="219" t="inlineStr">
        <is>
          <t>固定資產折舊</t>
        </is>
      </c>
      <c r="B58" s="539">
        <f>SUM(C58:E58)</f>
        <v/>
      </c>
      <c r="C58" s="597" t="n"/>
      <c r="D58" s="597" t="n"/>
      <c r="E58" s="598" t="n"/>
      <c r="F58" s="539">
        <f>SUM(G58:I58)</f>
        <v/>
      </c>
      <c r="G58" s="581" t="n"/>
      <c r="H58" s="581" t="n"/>
      <c r="I58" s="541" t="n"/>
      <c r="J58" s="538">
        <f>SUM(K58:M58)</f>
        <v/>
      </c>
      <c r="K58" s="581" t="n"/>
      <c r="L58" s="581" t="n"/>
      <c r="M58" s="582" t="n"/>
      <c r="N58" s="539">
        <f>SUM(O58:Q58)</f>
        <v/>
      </c>
      <c r="O58" s="581" t="n"/>
      <c r="P58" s="581" t="n"/>
      <c r="Q58" s="541" t="n"/>
      <c r="R58" s="538">
        <f>B58+F58+J58+N58</f>
        <v/>
      </c>
      <c r="S58" s="581" t="n"/>
      <c r="T58" s="599">
        <f>R58-S58</f>
        <v/>
      </c>
      <c r="U58" s="244">
        <f>T58/R58</f>
        <v/>
      </c>
      <c r="V58" s="583" t="n"/>
    </row>
    <row r="59" ht="14.5" customHeight="1" s="408">
      <c r="A59" s="600" t="inlineStr">
        <is>
          <t>月銷售收入</t>
        </is>
      </c>
      <c r="B59" s="539">
        <f>SUM(C59:E59)</f>
        <v/>
      </c>
      <c r="C59" s="601" t="n"/>
      <c r="D59" s="601" t="n"/>
      <c r="E59" s="602" t="n"/>
      <c r="F59" s="539">
        <f>SUM(G59:I59)</f>
        <v/>
      </c>
      <c r="G59" s="584" t="n"/>
      <c r="H59" s="584" t="n"/>
      <c r="I59" s="603" t="n"/>
      <c r="J59" s="538">
        <f>SUM(K59:M59)</f>
        <v/>
      </c>
      <c r="K59" s="584" t="n"/>
      <c r="L59" s="584" t="n"/>
      <c r="M59" s="604" t="n"/>
      <c r="N59" s="539">
        <f>SUM(O59:Q59)</f>
        <v/>
      </c>
      <c r="O59" s="584" t="n"/>
      <c r="P59" s="584" t="n"/>
      <c r="Q59" s="603" t="n"/>
      <c r="R59" s="538">
        <f>B59+F59+J59+N59</f>
        <v/>
      </c>
      <c r="S59" s="584" t="n"/>
      <c r="T59" s="599">
        <f>R59-S59</f>
        <v/>
      </c>
      <c r="U59" s="222">
        <f>T59/R59</f>
        <v/>
      </c>
      <c r="V59" s="583" t="n"/>
    </row>
    <row r="60" ht="174" customHeight="1" s="408">
      <c r="A60" s="605" t="inlineStr">
        <is>
          <t>月行銷費用（不含廣告與代理費）占月銷售收入比例</t>
        </is>
      </c>
      <c r="B60" s="539">
        <f>SUM(C60:E60)</f>
        <v/>
      </c>
      <c r="C60" s="606" t="n"/>
      <c r="D60" s="606" t="n"/>
      <c r="E60" s="607" t="n"/>
      <c r="F60" s="539">
        <f>SUM(G60:I60)</f>
        <v/>
      </c>
      <c r="G60" s="608" t="n"/>
      <c r="H60" s="608" t="n"/>
      <c r="I60" s="609" t="n"/>
      <c r="J60" s="538">
        <f>SUM(K60:M60)</f>
        <v/>
      </c>
      <c r="K60" s="608" t="n"/>
      <c r="L60" s="608" t="n"/>
      <c r="M60" s="610" t="n"/>
      <c r="N60" s="539">
        <f>SUM(O60:Q60)</f>
        <v/>
      </c>
      <c r="O60" s="608" t="n"/>
      <c r="P60" s="608" t="n"/>
      <c r="Q60" s="609" t="n"/>
      <c r="R60" s="538">
        <f>B60+F60+J60+N60</f>
        <v/>
      </c>
      <c r="S60" s="608" t="n"/>
      <c r="T60" s="599">
        <f>R60-S60</f>
        <v/>
      </c>
      <c r="U60" s="244">
        <f>T60/R60</f>
        <v/>
      </c>
      <c r="V60" s="611" t="n"/>
    </row>
    <row r="61" ht="174" customHeight="1" s="408">
      <c r="A61" s="605" t="inlineStr">
        <is>
          <t>月行銷費用（含廣告與代理費）占月銷售收入比例</t>
        </is>
      </c>
      <c r="B61" s="539">
        <f>SUM(C61:E61)</f>
        <v/>
      </c>
      <c r="C61" s="606" t="n"/>
      <c r="D61" s="606" t="n"/>
      <c r="E61" s="607" t="n"/>
      <c r="F61" s="539">
        <f>SUM(G61:I61)</f>
        <v/>
      </c>
      <c r="G61" s="608" t="n"/>
      <c r="H61" s="608" t="n"/>
      <c r="I61" s="609" t="n"/>
      <c r="J61" s="538">
        <f>SUM(K61:M61)</f>
        <v/>
      </c>
      <c r="K61" s="608" t="n"/>
      <c r="L61" s="608" t="n"/>
      <c r="M61" s="610" t="n"/>
      <c r="N61" s="539">
        <f>SUM(O61:Q61)</f>
        <v/>
      </c>
      <c r="O61" s="608" t="n"/>
      <c r="P61" s="608" t="n"/>
      <c r="Q61" s="609" t="n"/>
      <c r="R61" s="538">
        <f>B61+F61+J61+N61</f>
        <v/>
      </c>
      <c r="S61" s="608" t="n"/>
      <c r="T61" s="599">
        <f>R61-S61</f>
        <v/>
      </c>
      <c r="U61" s="222">
        <f>T61/R61</f>
        <v/>
      </c>
      <c r="V61" s="611" t="n"/>
    </row>
    <row r="62" ht="15.5" customHeight="1" s="408" thickBot="1">
      <c r="A62" s="257" t="inlineStr">
        <is>
          <t>小計</t>
        </is>
      </c>
      <c r="B62" s="560">
        <f>SUM(C62:E62)</f>
        <v/>
      </c>
      <c r="C62" s="560">
        <f>SUM(C58:C61)</f>
        <v/>
      </c>
      <c r="D62" s="560">
        <f>SUM(D58:D61)</f>
        <v/>
      </c>
      <c r="E62" s="612">
        <f>SUM(E58:E61)</f>
        <v/>
      </c>
      <c r="F62" s="560">
        <f>SUM(G62:I62)</f>
        <v/>
      </c>
      <c r="G62" s="560">
        <f>SUM(G58:G61)</f>
        <v/>
      </c>
      <c r="H62" s="560">
        <f>SUM(H58:H61)</f>
        <v/>
      </c>
      <c r="I62" s="613">
        <f>SUM(I58:I61)</f>
        <v/>
      </c>
      <c r="J62" s="563">
        <f>SUM(K62:M62)</f>
        <v/>
      </c>
      <c r="K62" s="560">
        <f>SUM(K58:K61)</f>
        <v/>
      </c>
      <c r="L62" s="560">
        <f>SUM(L58:L61)</f>
        <v/>
      </c>
      <c r="M62" s="612">
        <f>SUM(M58:M61)</f>
        <v/>
      </c>
      <c r="N62" s="560">
        <f>SUM(O62:Q62)</f>
        <v/>
      </c>
      <c r="O62" s="560">
        <f>SUM(O58:O61)</f>
        <v/>
      </c>
      <c r="P62" s="560">
        <f>SUM(P58:P61)</f>
        <v/>
      </c>
      <c r="Q62" s="613">
        <f>SUM(Q58:Q61)</f>
        <v/>
      </c>
      <c r="R62" s="563">
        <f>B62+F62+J62+N62</f>
        <v/>
      </c>
      <c r="S62" s="560">
        <f>SUM(S58:S61)</f>
        <v/>
      </c>
      <c r="T62" s="561">
        <f>R62-S62</f>
        <v/>
      </c>
      <c r="U62" s="260">
        <f>T62/R62</f>
        <v/>
      </c>
      <c r="V62" s="614" t="n"/>
    </row>
  </sheetData>
  <mergeCells count="8">
    <mergeCell ref="A1:V1"/>
    <mergeCell ref="A3:A4"/>
    <mergeCell ref="V3:V4"/>
    <mergeCell ref="R3:R4"/>
    <mergeCell ref="T3:T4"/>
    <mergeCell ref="S3:S4"/>
    <mergeCell ref="U3:U4"/>
    <mergeCell ref="B3:Q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U15"/>
  <sheetViews>
    <sheetView workbookViewId="0">
      <selection activeCell="F21" sqref="F21"/>
    </sheetView>
  </sheetViews>
  <sheetFormatPr baseColWidth="8" defaultRowHeight="14"/>
  <sheetData>
    <row r="1" ht="24" customHeight="1" s="408">
      <c r="A1" s="46" t="inlineStr">
        <is>
          <t xml:space="preserve">各項稅費支出現金預算表 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inlineStr">
        <is>
          <t>預算年度：</t>
        </is>
      </c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6" t="inlineStr">
        <is>
          <t>製表人：</t>
        </is>
      </c>
      <c r="T2" s="266" t="n"/>
      <c r="U2" s="266" t="n"/>
    </row>
    <row r="3" ht="14.5" customHeight="1" s="408">
      <c r="A3" s="615" t="inlineStr">
        <is>
          <t>稅費名稱</t>
        </is>
      </c>
      <c r="B3" s="616" t="inlineStr">
        <is>
          <t>計算依據</t>
        </is>
      </c>
      <c r="C3" s="445" t="inlineStr">
        <is>
          <t>稅費率％</t>
        </is>
      </c>
      <c r="D3" s="617" t="inlineStr">
        <is>
          <t>本期預計現金流出額</t>
        </is>
      </c>
      <c r="E3" s="447" t="n"/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447" t="n"/>
      <c r="S3" s="447" t="n"/>
      <c r="T3" s="449" t="n"/>
      <c r="U3" s="570" t="inlineStr">
        <is>
          <t>預算責任人</t>
        </is>
      </c>
    </row>
    <row r="4" ht="15" customHeight="1" s="408" thickBot="1">
      <c r="A4" s="618" t="n"/>
      <c r="B4" s="619" t="n"/>
      <c r="C4" s="453" t="n"/>
      <c r="D4" s="571" t="inlineStr">
        <is>
          <t>1季度</t>
        </is>
      </c>
      <c r="E4" s="572" t="inlineStr">
        <is>
          <t>1月</t>
        </is>
      </c>
      <c r="F4" s="572" t="inlineStr">
        <is>
          <t>2月</t>
        </is>
      </c>
      <c r="G4" s="574" t="inlineStr">
        <is>
          <t>3月</t>
        </is>
      </c>
      <c r="H4" s="575" t="inlineStr">
        <is>
          <t>2季度</t>
        </is>
      </c>
      <c r="I4" s="572" t="inlineStr">
        <is>
          <t>4月</t>
        </is>
      </c>
      <c r="J4" s="572" t="inlineStr">
        <is>
          <t>5月</t>
        </is>
      </c>
      <c r="K4" s="573" t="inlineStr">
        <is>
          <t>6月</t>
        </is>
      </c>
      <c r="L4" s="571" t="inlineStr">
        <is>
          <t>3季度</t>
        </is>
      </c>
      <c r="M4" s="572" t="inlineStr">
        <is>
          <t>7月</t>
        </is>
      </c>
      <c r="N4" s="572" t="inlineStr">
        <is>
          <t>8月</t>
        </is>
      </c>
      <c r="O4" s="574" t="inlineStr">
        <is>
          <t>9月</t>
        </is>
      </c>
      <c r="P4" s="575" t="inlineStr">
        <is>
          <t>4季度</t>
        </is>
      </c>
      <c r="Q4" s="572" t="inlineStr">
        <is>
          <t>10月</t>
        </is>
      </c>
      <c r="R4" s="572" t="inlineStr">
        <is>
          <t>11月</t>
        </is>
      </c>
      <c r="S4" s="573" t="inlineStr">
        <is>
          <t>12月</t>
        </is>
      </c>
      <c r="T4" s="620" t="inlineStr">
        <is>
          <t>全年合計</t>
        </is>
      </c>
      <c r="U4" s="465" t="n"/>
    </row>
    <row r="5" ht="15" customHeight="1" s="408" thickTop="1">
      <c r="A5" s="621" t="inlineStr">
        <is>
          <t>營業稅</t>
        </is>
      </c>
      <c r="B5" s="622" t="inlineStr">
        <is>
          <t>銷售額</t>
        </is>
      </c>
      <c r="C5" s="270" t="n">
        <v>0.05</v>
      </c>
      <c r="D5" s="623">
        <f>SUM(E5:G5)</f>
        <v/>
      </c>
      <c r="E5" s="624" t="n"/>
      <c r="F5" s="624" t="n"/>
      <c r="G5" s="625" t="n"/>
      <c r="H5" s="626">
        <f>SUM(I5:K5)</f>
        <v/>
      </c>
      <c r="I5" s="624" t="n"/>
      <c r="J5" s="624" t="n"/>
      <c r="K5" s="627" t="n"/>
      <c r="L5" s="623">
        <f>SUM(M5:O5)</f>
        <v/>
      </c>
      <c r="M5" s="624" t="n"/>
      <c r="N5" s="624" t="n"/>
      <c r="O5" s="625" t="n"/>
      <c r="P5" s="626">
        <f>SUM(Q5:S5)</f>
        <v/>
      </c>
      <c r="Q5" s="628" t="n"/>
      <c r="R5" s="628" t="n"/>
      <c r="S5" s="629" t="n"/>
      <c r="T5" s="630">
        <f>D5+H5+L5+P5</f>
        <v/>
      </c>
      <c r="U5" s="631" t="n"/>
    </row>
    <row r="6" ht="14.5" customHeight="1" s="408">
      <c r="A6" s="632" t="inlineStr">
        <is>
          <t>城建稅</t>
        </is>
      </c>
      <c r="B6" s="633" t="inlineStr">
        <is>
          <t>營業稅額</t>
        </is>
      </c>
      <c r="C6" s="282" t="n">
        <v>0.07000000000000001</v>
      </c>
      <c r="D6" s="623">
        <f>SUM(E6:G6)</f>
        <v/>
      </c>
      <c r="E6" s="634" t="n"/>
      <c r="F6" s="634" t="n"/>
      <c r="G6" s="635" t="n"/>
      <c r="H6" s="626">
        <f>SUM(I6:K6)</f>
        <v/>
      </c>
      <c r="I6" s="634" t="n"/>
      <c r="J6" s="634" t="n"/>
      <c r="K6" s="636" t="n"/>
      <c r="L6" s="623">
        <f>SUM(M6:O6)</f>
        <v/>
      </c>
      <c r="M6" s="634" t="n"/>
      <c r="N6" s="634" t="n"/>
      <c r="O6" s="635" t="n"/>
      <c r="P6" s="626">
        <f>SUM(Q6:S6)</f>
        <v/>
      </c>
      <c r="Q6" s="637" t="n"/>
      <c r="R6" s="637" t="n"/>
      <c r="S6" s="638" t="n"/>
      <c r="T6" s="630">
        <f>D6+H6+L6+P6</f>
        <v/>
      </c>
      <c r="U6" s="639" t="n"/>
    </row>
    <row r="7" ht="14.5" customHeight="1" s="408">
      <c r="A7" s="632" t="inlineStr">
        <is>
          <t>教育費附加（中央）</t>
        </is>
      </c>
      <c r="B7" s="633" t="inlineStr">
        <is>
          <t>營業稅額</t>
        </is>
      </c>
      <c r="C7" s="282" t="n">
        <v>0.03</v>
      </c>
      <c r="D7" s="623">
        <f>SUM(E7:G7)</f>
        <v/>
      </c>
      <c r="E7" s="634" t="n"/>
      <c r="F7" s="634" t="n"/>
      <c r="G7" s="635" t="n"/>
      <c r="H7" s="626">
        <f>SUM(I7:K7)</f>
        <v/>
      </c>
      <c r="I7" s="634" t="n"/>
      <c r="J7" s="634" t="n"/>
      <c r="K7" s="636" t="n"/>
      <c r="L7" s="623">
        <f>SUM(M7:O7)</f>
        <v/>
      </c>
      <c r="M7" s="634" t="n"/>
      <c r="N7" s="634" t="n"/>
      <c r="O7" s="635" t="n"/>
      <c r="P7" s="626">
        <f>SUM(Q7:S7)</f>
        <v/>
      </c>
      <c r="Q7" s="637" t="n"/>
      <c r="R7" s="637" t="n"/>
      <c r="S7" s="638" t="n"/>
      <c r="T7" s="630">
        <f>D7+H7+L7+P7</f>
        <v/>
      </c>
      <c r="U7" s="639" t="n"/>
    </row>
    <row r="8" ht="14.5" customHeight="1" s="408">
      <c r="A8" s="632" t="inlineStr">
        <is>
          <t>教育費附加（地方）</t>
        </is>
      </c>
      <c r="B8" s="633" t="inlineStr">
        <is>
          <t>營業稅額</t>
        </is>
      </c>
      <c r="C8" s="282" t="n">
        <v>0.02</v>
      </c>
      <c r="D8" s="623">
        <f>SUM(E8:G8)</f>
        <v/>
      </c>
      <c r="E8" s="634" t="n"/>
      <c r="F8" s="634" t="n"/>
      <c r="G8" s="635" t="n"/>
      <c r="H8" s="626">
        <f>SUM(I8:K8)</f>
        <v/>
      </c>
      <c r="I8" s="634" t="n"/>
      <c r="J8" s="634" t="n"/>
      <c r="K8" s="636" t="n"/>
      <c r="L8" s="623">
        <f>SUM(M8:O8)</f>
        <v/>
      </c>
      <c r="M8" s="634" t="n"/>
      <c r="N8" s="634" t="n"/>
      <c r="O8" s="635" t="n"/>
      <c r="P8" s="626">
        <f>SUM(Q8:S8)</f>
        <v/>
      </c>
      <c r="Q8" s="637" t="n"/>
      <c r="R8" s="637" t="n"/>
      <c r="S8" s="638" t="n"/>
      <c r="T8" s="630">
        <f>D8+H8+L8+P8</f>
        <v/>
      </c>
      <c r="U8" s="639" t="n"/>
    </row>
    <row r="9" ht="14.5" customHeight="1" s="408">
      <c r="A9" s="632" t="inlineStr">
        <is>
          <t>堤圍費</t>
        </is>
      </c>
      <c r="B9" s="640" t="inlineStr">
        <is>
          <t>銷售額</t>
        </is>
      </c>
      <c r="C9" s="641" t="n">
        <v>0.001</v>
      </c>
      <c r="D9" s="623">
        <f>SUM(E9:G9)</f>
        <v/>
      </c>
      <c r="E9" s="634" t="n"/>
      <c r="F9" s="634" t="n"/>
      <c r="G9" s="635" t="n"/>
      <c r="H9" s="626">
        <f>SUM(I9:K9)</f>
        <v/>
      </c>
      <c r="I9" s="634" t="n"/>
      <c r="J9" s="634" t="n"/>
      <c r="K9" s="636" t="n"/>
      <c r="L9" s="623">
        <f>SUM(M9:O9)</f>
        <v/>
      </c>
      <c r="M9" s="634" t="n"/>
      <c r="N9" s="634" t="n"/>
      <c r="O9" s="635" t="n"/>
      <c r="P9" s="626">
        <f>SUM(Q9:S9)</f>
        <v/>
      </c>
      <c r="Q9" s="637" t="n"/>
      <c r="R9" s="637" t="n"/>
      <c r="S9" s="638" t="n"/>
      <c r="T9" s="630">
        <f>D9+H9+L9+P9</f>
        <v/>
      </c>
      <c r="U9" s="639" t="n"/>
    </row>
    <row r="10" ht="14.5" customHeight="1" s="408">
      <c r="A10" s="632" t="inlineStr">
        <is>
          <t>預繳土地增值稅</t>
        </is>
      </c>
      <c r="B10" s="640" t="inlineStr">
        <is>
          <t>銷售額</t>
        </is>
      </c>
      <c r="C10" s="282" t="n">
        <v>0.03</v>
      </c>
      <c r="D10" s="623">
        <f>SUM(E10:G10)</f>
        <v/>
      </c>
      <c r="E10" s="634" t="n"/>
      <c r="F10" s="634" t="n"/>
      <c r="G10" s="635" t="n"/>
      <c r="H10" s="626">
        <f>SUM(I10:K10)</f>
        <v/>
      </c>
      <c r="I10" s="634" t="n"/>
      <c r="J10" s="634" t="n"/>
      <c r="K10" s="636" t="n"/>
      <c r="L10" s="623">
        <f>SUM(M10:O10)</f>
        <v/>
      </c>
      <c r="M10" s="634" t="n"/>
      <c r="N10" s="634" t="n"/>
      <c r="O10" s="635" t="n"/>
      <c r="P10" s="626">
        <f>SUM(Q10:S10)</f>
        <v/>
      </c>
      <c r="Q10" s="637" t="n"/>
      <c r="R10" s="637" t="n"/>
      <c r="S10" s="638" t="n"/>
      <c r="T10" s="630">
        <f>D10+H10+L10+P10</f>
        <v/>
      </c>
      <c r="U10" s="639" t="n"/>
    </row>
    <row r="11" ht="14.5" customHeight="1" s="408">
      <c r="A11" s="632" t="inlineStr">
        <is>
          <t>清算土地增值稅</t>
        </is>
      </c>
      <c r="B11" s="640" t="inlineStr">
        <is>
          <t>清算結果調整</t>
        </is>
      </c>
      <c r="C11" s="282" t="n"/>
      <c r="D11" s="623">
        <f>SUM(E11:G11)</f>
        <v/>
      </c>
      <c r="E11" s="634" t="n"/>
      <c r="F11" s="634" t="n"/>
      <c r="G11" s="635" t="n"/>
      <c r="H11" s="626">
        <f>SUM(I11:K11)</f>
        <v/>
      </c>
      <c r="I11" s="634" t="n"/>
      <c r="J11" s="634" t="n"/>
      <c r="K11" s="636" t="n"/>
      <c r="L11" s="623">
        <f>SUM(M11:O11)</f>
        <v/>
      </c>
      <c r="M11" s="634" t="n"/>
      <c r="N11" s="634" t="n"/>
      <c r="O11" s="635" t="n"/>
      <c r="P11" s="626">
        <f>SUM(Q11:S11)</f>
        <v/>
      </c>
      <c r="Q11" s="637" t="n"/>
      <c r="R11" s="637" t="n"/>
      <c r="S11" s="638" t="n"/>
      <c r="T11" s="630">
        <f>D11+H11+L11+P11</f>
        <v/>
      </c>
      <c r="U11" s="639" t="n"/>
    </row>
    <row r="12" ht="14.5" customHeight="1" s="408">
      <c r="A12" s="632" t="inlineStr">
        <is>
          <t>企業所得稅</t>
        </is>
      </c>
      <c r="B12" s="640" t="n"/>
      <c r="C12" s="282" t="n">
        <v>0.25</v>
      </c>
      <c r="D12" s="623">
        <f>SUM(E12:G12)</f>
        <v/>
      </c>
      <c r="E12" s="634" t="n"/>
      <c r="F12" s="634" t="n"/>
      <c r="G12" s="635" t="n"/>
      <c r="H12" s="626">
        <f>SUM(I12:K12)</f>
        <v/>
      </c>
      <c r="I12" s="634" t="n"/>
      <c r="J12" s="634" t="n"/>
      <c r="K12" s="636" t="n"/>
      <c r="L12" s="623">
        <f>SUM(M12:O12)</f>
        <v/>
      </c>
      <c r="M12" s="634" t="n"/>
      <c r="N12" s="634" t="n"/>
      <c r="O12" s="635" t="n"/>
      <c r="P12" s="626">
        <f>SUM(Q12:S12)</f>
        <v/>
      </c>
      <c r="Q12" s="637" t="n"/>
      <c r="R12" s="637" t="n"/>
      <c r="S12" s="638" t="n"/>
      <c r="T12" s="630">
        <f>D12+H12+L12+P12</f>
        <v/>
      </c>
      <c r="U12" s="639" t="n"/>
    </row>
    <row r="13" ht="14.5" customHeight="1" s="408">
      <c r="A13" s="632" t="inlineStr">
        <is>
          <t>房產稅及土地使用稅</t>
        </is>
      </c>
      <c r="B13" s="640" t="n"/>
      <c r="C13" s="282" t="n"/>
      <c r="D13" s="623">
        <f>SUM(E13:G13)</f>
        <v/>
      </c>
      <c r="E13" s="634" t="n"/>
      <c r="F13" s="634" t="n"/>
      <c r="G13" s="635" t="n"/>
      <c r="H13" s="626">
        <f>SUM(I13:K13)</f>
        <v/>
      </c>
      <c r="I13" s="634" t="n"/>
      <c r="J13" s="634" t="n"/>
      <c r="K13" s="636" t="n"/>
      <c r="L13" s="623">
        <f>SUM(M13:O13)</f>
        <v/>
      </c>
      <c r="M13" s="634" t="n"/>
      <c r="N13" s="634" t="n"/>
      <c r="O13" s="635" t="n"/>
      <c r="P13" s="626">
        <f>SUM(Q13:S13)</f>
        <v/>
      </c>
      <c r="Q13" s="637" t="n"/>
      <c r="R13" s="637" t="n"/>
      <c r="S13" s="638" t="n"/>
      <c r="T13" s="630">
        <f>D13+H13+L13+P13</f>
        <v/>
      </c>
      <c r="U13" s="639" t="n"/>
    </row>
    <row r="14" ht="14.5" customHeight="1" s="408">
      <c r="A14" s="632" t="inlineStr">
        <is>
          <t>其他</t>
        </is>
      </c>
      <c r="B14" s="633" t="n"/>
      <c r="C14" s="282" t="n"/>
      <c r="D14" s="623">
        <f>SUM(E14:G14)</f>
        <v/>
      </c>
      <c r="E14" s="634" t="n"/>
      <c r="F14" s="634" t="n"/>
      <c r="G14" s="635" t="n"/>
      <c r="H14" s="626">
        <f>SUM(I14:K14)</f>
        <v/>
      </c>
      <c r="I14" s="634" t="n"/>
      <c r="J14" s="634" t="n"/>
      <c r="K14" s="636" t="n"/>
      <c r="L14" s="623">
        <f>SUM(M14:O14)</f>
        <v/>
      </c>
      <c r="M14" s="634" t="n"/>
      <c r="N14" s="634" t="n"/>
      <c r="O14" s="635" t="n"/>
      <c r="P14" s="626">
        <f>SUM(Q14:S14)</f>
        <v/>
      </c>
      <c r="Q14" s="637" t="n"/>
      <c r="R14" s="637" t="n"/>
      <c r="S14" s="638" t="n"/>
      <c r="T14" s="630">
        <f>D14+H14+L14+P14</f>
        <v/>
      </c>
      <c r="U14" s="639" t="n"/>
    </row>
    <row r="15" ht="15" customHeight="1" s="408" thickBot="1">
      <c r="A15" s="642" t="inlineStr">
        <is>
          <t>合  計</t>
        </is>
      </c>
      <c r="B15" s="643" t="n"/>
      <c r="C15" s="644" t="n"/>
      <c r="D15" s="645">
        <f>SUM(E15:G15)</f>
        <v/>
      </c>
      <c r="E15" s="646">
        <f>SUM(E5:E14)</f>
        <v/>
      </c>
      <c r="F15" s="646">
        <f>SUM(F5:F14)</f>
        <v/>
      </c>
      <c r="G15" s="647">
        <f>SUM(G5:G14)</f>
        <v/>
      </c>
      <c r="H15" s="648">
        <f>SUM(I15:K15)</f>
        <v/>
      </c>
      <c r="I15" s="646">
        <f>SUM(I5:I14)</f>
        <v/>
      </c>
      <c r="J15" s="646">
        <f>SUM(J5:J14)</f>
        <v/>
      </c>
      <c r="K15" s="647">
        <f>SUM(K5:K14)</f>
        <v/>
      </c>
      <c r="L15" s="649">
        <f>SUM(M15:O15)</f>
        <v/>
      </c>
      <c r="M15" s="646">
        <f>SUM(M5:M14)</f>
        <v/>
      </c>
      <c r="N15" s="646">
        <f>SUM(N5:N14)</f>
        <v/>
      </c>
      <c r="O15" s="647">
        <f>SUM(O5:O14)</f>
        <v/>
      </c>
      <c r="P15" s="649">
        <f>SUM(Q15:S15)</f>
        <v/>
      </c>
      <c r="Q15" s="646">
        <f>SUM(Q5:Q14)</f>
        <v/>
      </c>
      <c r="R15" s="646">
        <f>SUM(R5:R14)</f>
        <v/>
      </c>
      <c r="S15" s="646">
        <f>SUM(S5:S14)</f>
        <v/>
      </c>
      <c r="T15" s="646">
        <f>D15+H15+L15+P15</f>
        <v/>
      </c>
      <c r="U15" s="650" t="n"/>
    </row>
  </sheetData>
  <mergeCells count="7">
    <mergeCell ref="D3:T3"/>
    <mergeCell ref="C3:C4"/>
    <mergeCell ref="B3:B4"/>
    <mergeCell ref="A3:A4"/>
    <mergeCell ref="U3:U4"/>
    <mergeCell ref="A15:C15"/>
    <mergeCell ref="A1:U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V29"/>
  <sheetViews>
    <sheetView workbookViewId="0">
      <selection activeCell="G16" sqref="G16"/>
    </sheetView>
  </sheetViews>
  <sheetFormatPr baseColWidth="8" defaultRowHeight="14"/>
  <sheetData>
    <row r="1" ht="24" customHeight="1" s="408">
      <c r="A1" s="409" t="inlineStr">
        <is>
          <t>投資收回現金預算表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inlineStr">
        <is>
          <t>預算年度：</t>
        </is>
      </c>
      <c r="J2" s="266" t="n"/>
      <c r="K2" s="266" t="n"/>
      <c r="L2" s="266" t="n"/>
      <c r="M2" s="266" t="n"/>
      <c r="N2" s="266" t="n"/>
      <c r="O2" s="266" t="n"/>
      <c r="P2" s="266" t="n"/>
      <c r="Q2" s="266" t="inlineStr">
        <is>
          <t>製表人：</t>
        </is>
      </c>
      <c r="R2" s="266" t="n"/>
      <c r="S2" s="266" t="n"/>
      <c r="T2" s="266" t="n"/>
      <c r="U2" s="266" t="n"/>
      <c r="V2" s="266" t="n"/>
    </row>
    <row r="3" ht="14.5" customHeight="1" s="408">
      <c r="A3" s="651" t="inlineStr">
        <is>
          <t>項   目</t>
        </is>
      </c>
      <c r="B3" s="616" t="inlineStr">
        <is>
          <t>本年期初數</t>
        </is>
      </c>
      <c r="C3" s="616" t="inlineStr">
        <is>
          <t>本年預計追加投資額</t>
        </is>
      </c>
      <c r="D3" s="445" t="inlineStr">
        <is>
          <t>至本年末預計累計投資額</t>
        </is>
      </c>
      <c r="E3" s="446" t="inlineStr">
        <is>
          <t>全年預計現金流入量</t>
        </is>
      </c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447" t="n"/>
      <c r="S3" s="447" t="n"/>
      <c r="T3" s="447" t="n"/>
      <c r="U3" s="652" t="inlineStr">
        <is>
          <t>合計</t>
        </is>
      </c>
      <c r="V3" s="570" t="inlineStr">
        <is>
          <t>預算責任人</t>
        </is>
      </c>
    </row>
    <row r="4" ht="15" customHeight="1" s="408" thickBot="1">
      <c r="A4" s="618" t="n"/>
      <c r="B4" s="619" t="n"/>
      <c r="C4" s="619" t="n"/>
      <c r="D4" s="453" t="n"/>
      <c r="E4" s="571" t="inlineStr">
        <is>
          <t>1季度</t>
        </is>
      </c>
      <c r="F4" s="572" t="inlineStr">
        <is>
          <t>1月</t>
        </is>
      </c>
      <c r="G4" s="572" t="inlineStr">
        <is>
          <t>2月</t>
        </is>
      </c>
      <c r="H4" s="574" t="inlineStr">
        <is>
          <t>3月</t>
        </is>
      </c>
      <c r="I4" s="575" t="inlineStr">
        <is>
          <t>2季度</t>
        </is>
      </c>
      <c r="J4" s="572" t="inlineStr">
        <is>
          <t>4月</t>
        </is>
      </c>
      <c r="K4" s="572" t="inlineStr">
        <is>
          <t>5月</t>
        </is>
      </c>
      <c r="L4" s="573" t="inlineStr">
        <is>
          <t>6月</t>
        </is>
      </c>
      <c r="M4" s="571" t="inlineStr">
        <is>
          <t>3季度</t>
        </is>
      </c>
      <c r="N4" s="572" t="inlineStr">
        <is>
          <t>7月</t>
        </is>
      </c>
      <c r="O4" s="572" t="inlineStr">
        <is>
          <t>8月</t>
        </is>
      </c>
      <c r="P4" s="574" t="inlineStr">
        <is>
          <t>9月</t>
        </is>
      </c>
      <c r="Q4" s="575" t="inlineStr">
        <is>
          <t>4季度</t>
        </is>
      </c>
      <c r="R4" s="572" t="inlineStr">
        <is>
          <t>10月</t>
        </is>
      </c>
      <c r="S4" s="572" t="inlineStr">
        <is>
          <t>11月</t>
        </is>
      </c>
      <c r="T4" s="574" t="inlineStr">
        <is>
          <t>12月</t>
        </is>
      </c>
      <c r="U4" s="576" t="n"/>
      <c r="V4" s="465" t="n"/>
    </row>
    <row r="5" ht="15" customHeight="1" s="408" thickTop="1">
      <c r="A5" s="653" t="inlineStr">
        <is>
          <t>一、股票名稱</t>
        </is>
      </c>
      <c r="B5" s="654" t="n"/>
      <c r="C5" s="654" t="n"/>
      <c r="D5" s="655" t="n"/>
      <c r="E5" s="656">
        <f>SUM(F5:H5)</f>
        <v/>
      </c>
      <c r="F5" s="657" t="n"/>
      <c r="G5" s="657" t="n"/>
      <c r="H5" s="658" t="n"/>
      <c r="I5" s="505">
        <f>SUM(J5:L5)</f>
        <v/>
      </c>
      <c r="J5" s="506" t="n"/>
      <c r="K5" s="506" t="n"/>
      <c r="L5" s="507" t="n"/>
      <c r="M5" s="656">
        <f>SUM(N5:P5)</f>
        <v/>
      </c>
      <c r="N5" s="657" t="n"/>
      <c r="O5" s="657" t="n"/>
      <c r="P5" s="658" t="n"/>
      <c r="Q5" s="505">
        <f>SUM(R5:T5)</f>
        <v/>
      </c>
      <c r="R5" s="506" t="n"/>
      <c r="S5" s="506" t="n"/>
      <c r="T5" s="507" t="n"/>
      <c r="U5" s="508">
        <f>E5+I5+M5+Q5</f>
        <v/>
      </c>
      <c r="V5" s="659" t="n"/>
    </row>
    <row r="6" ht="14.5" customHeight="1" s="408">
      <c r="A6" s="660" t="inlineStr">
        <is>
          <t>股票1</t>
        </is>
      </c>
      <c r="B6" s="661" t="n"/>
      <c r="C6" s="661" t="n"/>
      <c r="D6" s="662" t="n"/>
      <c r="E6" s="656">
        <f>SUM(F6:H6)</f>
        <v/>
      </c>
      <c r="F6" s="663" t="n"/>
      <c r="G6" s="663" t="n"/>
      <c r="H6" s="664" t="n"/>
      <c r="I6" s="505">
        <f>SUM(J6:L6)</f>
        <v/>
      </c>
      <c r="J6" s="581" t="n"/>
      <c r="K6" s="581" t="n"/>
      <c r="L6" s="582" t="n"/>
      <c r="M6" s="656">
        <f>SUM(N6:P6)</f>
        <v/>
      </c>
      <c r="N6" s="663" t="n"/>
      <c r="O6" s="663" t="n"/>
      <c r="P6" s="664" t="n"/>
      <c r="Q6" s="505">
        <f>SUM(R6:T6)</f>
        <v/>
      </c>
      <c r="R6" s="581" t="n"/>
      <c r="S6" s="581" t="n"/>
      <c r="T6" s="582" t="n"/>
      <c r="U6" s="508">
        <f>E6+I6+M6+Q6</f>
        <v/>
      </c>
      <c r="V6" s="665" t="n"/>
    </row>
    <row r="7" ht="14.5" customHeight="1" s="408">
      <c r="A7" s="666" t="inlineStr">
        <is>
          <t>本金收回</t>
        </is>
      </c>
      <c r="B7" s="661" t="n"/>
      <c r="C7" s="661" t="n"/>
      <c r="D7" s="662" t="n"/>
      <c r="E7" s="656">
        <f>SUM(F7:H7)</f>
        <v/>
      </c>
      <c r="F7" s="663" t="n"/>
      <c r="G7" s="663" t="n"/>
      <c r="H7" s="664" t="n"/>
      <c r="I7" s="505">
        <f>SUM(J7:L7)</f>
        <v/>
      </c>
      <c r="J7" s="581" t="n"/>
      <c r="K7" s="581" t="n"/>
      <c r="L7" s="582" t="n"/>
      <c r="M7" s="656">
        <f>SUM(N7:P7)</f>
        <v/>
      </c>
      <c r="N7" s="663" t="n"/>
      <c r="O7" s="663" t="n"/>
      <c r="P7" s="664" t="n"/>
      <c r="Q7" s="505">
        <f>SUM(R7:T7)</f>
        <v/>
      </c>
      <c r="R7" s="581" t="n"/>
      <c r="S7" s="581" t="n"/>
      <c r="T7" s="582" t="n"/>
      <c r="U7" s="508">
        <f>E7+I7+M7+Q7</f>
        <v/>
      </c>
      <c r="V7" s="665" t="n"/>
    </row>
    <row r="8" ht="14.5" customHeight="1" s="408">
      <c r="A8" s="666" t="inlineStr">
        <is>
          <t>投資收益</t>
        </is>
      </c>
      <c r="B8" s="661" t="n"/>
      <c r="C8" s="661" t="n"/>
      <c r="D8" s="662" t="n"/>
      <c r="E8" s="656">
        <f>SUM(F8:H8)</f>
        <v/>
      </c>
      <c r="F8" s="663" t="n"/>
      <c r="G8" s="663" t="n"/>
      <c r="H8" s="664" t="n"/>
      <c r="I8" s="505">
        <f>SUM(J8:L8)</f>
        <v/>
      </c>
      <c r="J8" s="581" t="n"/>
      <c r="K8" s="581" t="n"/>
      <c r="L8" s="582" t="n"/>
      <c r="M8" s="656">
        <f>SUM(N8:P8)</f>
        <v/>
      </c>
      <c r="N8" s="663" t="n"/>
      <c r="O8" s="663" t="n"/>
      <c r="P8" s="664" t="n"/>
      <c r="Q8" s="505">
        <f>SUM(R8:T8)</f>
        <v/>
      </c>
      <c r="R8" s="581" t="n"/>
      <c r="S8" s="581" t="n"/>
      <c r="T8" s="582" t="n"/>
      <c r="U8" s="508">
        <f>E8+I8+M8+Q8</f>
        <v/>
      </c>
      <c r="V8" s="665" t="n"/>
    </row>
    <row r="9" ht="14.5" customHeight="1" s="408">
      <c r="A9" s="660" t="inlineStr">
        <is>
          <t>股票2</t>
        </is>
      </c>
      <c r="B9" s="661" t="n"/>
      <c r="C9" s="661" t="n"/>
      <c r="D9" s="662" t="n"/>
      <c r="E9" s="656">
        <f>SUM(F9:H9)</f>
        <v/>
      </c>
      <c r="F9" s="663" t="n"/>
      <c r="G9" s="663" t="n"/>
      <c r="H9" s="664" t="n"/>
      <c r="I9" s="505">
        <f>SUM(J9:L9)</f>
        <v/>
      </c>
      <c r="J9" s="581" t="n"/>
      <c r="K9" s="581" t="n"/>
      <c r="L9" s="582" t="n"/>
      <c r="M9" s="656">
        <f>SUM(N9:P9)</f>
        <v/>
      </c>
      <c r="N9" s="663" t="n"/>
      <c r="O9" s="663" t="n"/>
      <c r="P9" s="664" t="n"/>
      <c r="Q9" s="505">
        <f>SUM(R9:T9)</f>
        <v/>
      </c>
      <c r="R9" s="581" t="n"/>
      <c r="S9" s="581" t="n"/>
      <c r="T9" s="582" t="n"/>
      <c r="U9" s="508">
        <f>E9+I9+M9+Q9</f>
        <v/>
      </c>
      <c r="V9" s="665" t="n"/>
    </row>
    <row r="10" ht="14.5" customHeight="1" s="408">
      <c r="A10" s="666" t="inlineStr">
        <is>
          <t>本金收回</t>
        </is>
      </c>
      <c r="B10" s="661" t="n"/>
      <c r="C10" s="661" t="n"/>
      <c r="D10" s="662" t="n"/>
      <c r="E10" s="656">
        <f>SUM(F10:H10)</f>
        <v/>
      </c>
      <c r="F10" s="663" t="n"/>
      <c r="G10" s="663" t="n"/>
      <c r="H10" s="664" t="n"/>
      <c r="I10" s="505">
        <f>SUM(J10:L10)</f>
        <v/>
      </c>
      <c r="J10" s="581" t="n"/>
      <c r="K10" s="581" t="n"/>
      <c r="L10" s="582" t="n"/>
      <c r="M10" s="656">
        <f>SUM(N10:P10)</f>
        <v/>
      </c>
      <c r="N10" s="663" t="n"/>
      <c r="O10" s="663" t="n"/>
      <c r="P10" s="664" t="n"/>
      <c r="Q10" s="505">
        <f>SUM(R10:T10)</f>
        <v/>
      </c>
      <c r="R10" s="581" t="n"/>
      <c r="S10" s="581" t="n"/>
      <c r="T10" s="582" t="n"/>
      <c r="U10" s="508">
        <f>E10+I10+M10+Q10</f>
        <v/>
      </c>
      <c r="V10" s="665" t="n"/>
    </row>
    <row r="11" ht="14.5" customHeight="1" s="408">
      <c r="A11" s="667" t="inlineStr">
        <is>
          <t>投資收益</t>
        </is>
      </c>
      <c r="B11" s="668" t="n"/>
      <c r="C11" s="668" t="n"/>
      <c r="D11" s="669" t="n"/>
      <c r="E11" s="656">
        <f>SUM(F11:H11)</f>
        <v/>
      </c>
      <c r="F11" s="670" t="n"/>
      <c r="G11" s="670" t="n"/>
      <c r="H11" s="671" t="n"/>
      <c r="I11" s="505">
        <f>SUM(J11:L11)</f>
        <v/>
      </c>
      <c r="J11" s="599" t="n"/>
      <c r="K11" s="599" t="n"/>
      <c r="L11" s="672" t="n"/>
      <c r="M11" s="656">
        <f>SUM(N11:P11)</f>
        <v/>
      </c>
      <c r="N11" s="670" t="n"/>
      <c r="O11" s="670" t="n"/>
      <c r="P11" s="671" t="n"/>
      <c r="Q11" s="505">
        <f>SUM(R11:T11)</f>
        <v/>
      </c>
      <c r="R11" s="599" t="n"/>
      <c r="S11" s="599" t="n"/>
      <c r="T11" s="672" t="n"/>
      <c r="U11" s="508">
        <f>E11+I11+M11+Q11</f>
        <v/>
      </c>
      <c r="V11" s="673" t="n"/>
    </row>
    <row r="12" ht="14.5" customHeight="1" s="408">
      <c r="A12" s="674" t="inlineStr">
        <is>
          <t>小計</t>
        </is>
      </c>
      <c r="B12" s="545">
        <f>SUM(B5:B11)</f>
        <v/>
      </c>
      <c r="C12" s="545">
        <f>SUM(C5:C11)</f>
        <v/>
      </c>
      <c r="D12" s="543">
        <f>SUM(D5:D11)</f>
        <v/>
      </c>
      <c r="E12" s="544">
        <f>SUM(F12:H12)</f>
        <v/>
      </c>
      <c r="F12" s="544">
        <f>SUM(F5:F11)</f>
        <v/>
      </c>
      <c r="G12" s="544">
        <f>SUM(G5:G11)</f>
        <v/>
      </c>
      <c r="H12" s="675">
        <f>SUM(H5:H11)</f>
        <v/>
      </c>
      <c r="I12" s="544">
        <f>SUM(J12:L12)</f>
        <v/>
      </c>
      <c r="J12" s="544">
        <f>SUM(J5:J11)</f>
        <v/>
      </c>
      <c r="K12" s="544">
        <f>SUM(K5:K11)</f>
        <v/>
      </c>
      <c r="L12" s="676">
        <f>SUM(L5:L11)</f>
        <v/>
      </c>
      <c r="M12" s="547">
        <f>SUM(N12:P12)</f>
        <v/>
      </c>
      <c r="N12" s="544">
        <f>SUM(N5:N11)</f>
        <v/>
      </c>
      <c r="O12" s="544">
        <f>SUM(O5:O11)</f>
        <v/>
      </c>
      <c r="P12" s="676">
        <f>SUM(P5:P11)</f>
        <v/>
      </c>
      <c r="Q12" s="547">
        <f>SUM(R12:T12)</f>
        <v/>
      </c>
      <c r="R12" s="544">
        <f>SUM(R5:R11)</f>
        <v/>
      </c>
      <c r="S12" s="544">
        <f>SUM(S5:S11)</f>
        <v/>
      </c>
      <c r="T12" s="676">
        <f>SUM(T5:T11)</f>
        <v/>
      </c>
      <c r="U12" s="547">
        <f>E12+I12+M12+Q12</f>
        <v/>
      </c>
      <c r="V12" s="677" t="n"/>
    </row>
    <row r="13" ht="14.5" customHeight="1" s="408">
      <c r="A13" s="653" t="inlineStr">
        <is>
          <t>二、債權投資</t>
        </is>
      </c>
      <c r="B13" s="654" t="n"/>
      <c r="C13" s="654" t="n"/>
      <c r="D13" s="655" t="n"/>
      <c r="E13" s="678" t="n"/>
      <c r="F13" s="654" t="n"/>
      <c r="G13" s="654" t="n"/>
      <c r="H13" s="679" t="n"/>
      <c r="I13" s="680" t="n"/>
      <c r="J13" s="654" t="n"/>
      <c r="K13" s="654" t="n"/>
      <c r="L13" s="655" t="n"/>
      <c r="M13" s="678" t="n"/>
      <c r="N13" s="654" t="n"/>
      <c r="O13" s="654" t="n"/>
      <c r="P13" s="679" t="n"/>
      <c r="Q13" s="680" t="n"/>
      <c r="R13" s="654" t="n"/>
      <c r="S13" s="654" t="n"/>
      <c r="T13" s="655" t="n"/>
      <c r="U13" s="678" t="n"/>
      <c r="V13" s="659" t="n"/>
    </row>
    <row r="14" ht="14.5" customHeight="1" s="408">
      <c r="A14" s="660" t="inlineStr">
        <is>
          <t>債券1</t>
        </is>
      </c>
      <c r="B14" s="681" t="n"/>
      <c r="C14" s="681" t="n"/>
      <c r="D14" s="682" t="n"/>
      <c r="E14" s="683" t="n"/>
      <c r="F14" s="661" t="n"/>
      <c r="G14" s="661" t="n"/>
      <c r="H14" s="684" t="n"/>
      <c r="I14" s="685" t="n"/>
      <c r="J14" s="661" t="n"/>
      <c r="K14" s="661" t="n"/>
      <c r="L14" s="662" t="n"/>
      <c r="M14" s="683" t="n"/>
      <c r="N14" s="661" t="n"/>
      <c r="O14" s="661" t="n"/>
      <c r="P14" s="684" t="n"/>
      <c r="Q14" s="685" t="n"/>
      <c r="R14" s="661" t="n"/>
      <c r="S14" s="661" t="n"/>
      <c r="T14" s="662" t="n"/>
      <c r="U14" s="683" t="n"/>
      <c r="V14" s="665" t="n"/>
    </row>
    <row r="15" ht="14.5" customHeight="1" s="408">
      <c r="A15" s="666" t="inlineStr">
        <is>
          <t>本金收回</t>
        </is>
      </c>
      <c r="B15" s="681" t="n"/>
      <c r="C15" s="681" t="n"/>
      <c r="D15" s="682" t="n"/>
      <c r="E15" s="683" t="n"/>
      <c r="F15" s="661" t="n"/>
      <c r="G15" s="661" t="n"/>
      <c r="H15" s="684" t="n"/>
      <c r="I15" s="685" t="n"/>
      <c r="J15" s="661" t="n"/>
      <c r="K15" s="661" t="n"/>
      <c r="L15" s="662" t="n"/>
      <c r="M15" s="683" t="n"/>
      <c r="N15" s="661" t="n"/>
      <c r="O15" s="661" t="n"/>
      <c r="P15" s="684" t="n"/>
      <c r="Q15" s="685" t="n"/>
      <c r="R15" s="661" t="n"/>
      <c r="S15" s="661" t="n"/>
      <c r="T15" s="662" t="n"/>
      <c r="U15" s="683" t="n"/>
      <c r="V15" s="665" t="n"/>
    </row>
    <row r="16" ht="14.5" customHeight="1" s="408">
      <c r="A16" s="666" t="inlineStr">
        <is>
          <t>投資收益</t>
        </is>
      </c>
      <c r="B16" s="681" t="n"/>
      <c r="C16" s="681" t="n"/>
      <c r="D16" s="682" t="n"/>
      <c r="E16" s="683" t="n"/>
      <c r="F16" s="661" t="n"/>
      <c r="G16" s="661" t="n"/>
      <c r="H16" s="684" t="n"/>
      <c r="I16" s="685" t="n"/>
      <c r="J16" s="661" t="n"/>
      <c r="K16" s="661" t="n"/>
      <c r="L16" s="662" t="n"/>
      <c r="M16" s="683" t="n"/>
      <c r="N16" s="661" t="n"/>
      <c r="O16" s="661" t="n"/>
      <c r="P16" s="684" t="n"/>
      <c r="Q16" s="685" t="n"/>
      <c r="R16" s="661" t="n"/>
      <c r="S16" s="661" t="n"/>
      <c r="T16" s="662" t="n"/>
      <c r="U16" s="683" t="n"/>
      <c r="V16" s="665" t="n"/>
    </row>
    <row r="17" ht="14.5" customHeight="1" s="408">
      <c r="A17" s="660" t="inlineStr">
        <is>
          <t>債券2</t>
        </is>
      </c>
      <c r="B17" s="681" t="n"/>
      <c r="C17" s="681" t="n"/>
      <c r="D17" s="682" t="n"/>
      <c r="E17" s="683" t="n"/>
      <c r="F17" s="661" t="n"/>
      <c r="G17" s="661" t="n"/>
      <c r="H17" s="684" t="n"/>
      <c r="I17" s="685" t="n"/>
      <c r="J17" s="661" t="n"/>
      <c r="K17" s="661" t="n"/>
      <c r="L17" s="662" t="n"/>
      <c r="M17" s="683" t="n"/>
      <c r="N17" s="661" t="n"/>
      <c r="O17" s="661" t="n"/>
      <c r="P17" s="684" t="n"/>
      <c r="Q17" s="685" t="n"/>
      <c r="R17" s="661" t="n"/>
      <c r="S17" s="661" t="n"/>
      <c r="T17" s="662" t="n"/>
      <c r="U17" s="683" t="n"/>
      <c r="V17" s="665" t="n"/>
    </row>
    <row r="18" ht="14.5" customHeight="1" s="408">
      <c r="A18" s="666" t="inlineStr">
        <is>
          <t>本金收回</t>
        </is>
      </c>
      <c r="B18" s="681" t="n"/>
      <c r="C18" s="681" t="n"/>
      <c r="D18" s="682" t="n"/>
      <c r="E18" s="683" t="n"/>
      <c r="F18" s="661" t="n"/>
      <c r="G18" s="661" t="n"/>
      <c r="H18" s="684" t="n"/>
      <c r="I18" s="685" t="n"/>
      <c r="J18" s="661" t="n"/>
      <c r="K18" s="661" t="n"/>
      <c r="L18" s="662" t="n"/>
      <c r="M18" s="683" t="n"/>
      <c r="N18" s="661" t="n"/>
      <c r="O18" s="661" t="n"/>
      <c r="P18" s="684" t="n"/>
      <c r="Q18" s="685" t="n"/>
      <c r="R18" s="661" t="n"/>
      <c r="S18" s="661" t="n"/>
      <c r="T18" s="662" t="n"/>
      <c r="U18" s="683" t="n"/>
      <c r="V18" s="665" t="n"/>
    </row>
    <row r="19" ht="14.5" customHeight="1" s="408">
      <c r="A19" s="667" t="inlineStr">
        <is>
          <t>投資收益</t>
        </is>
      </c>
      <c r="B19" s="686" t="n"/>
      <c r="C19" s="686" t="n"/>
      <c r="D19" s="687" t="n"/>
      <c r="E19" s="688" t="n"/>
      <c r="F19" s="668" t="n"/>
      <c r="G19" s="668" t="n"/>
      <c r="H19" s="689" t="n"/>
      <c r="I19" s="690" t="n"/>
      <c r="J19" s="668" t="n"/>
      <c r="K19" s="668" t="n"/>
      <c r="L19" s="669" t="n"/>
      <c r="M19" s="688" t="n"/>
      <c r="N19" s="668" t="n"/>
      <c r="O19" s="668" t="n"/>
      <c r="P19" s="689" t="n"/>
      <c r="Q19" s="690" t="n"/>
      <c r="R19" s="668" t="n"/>
      <c r="S19" s="668" t="n"/>
      <c r="T19" s="669" t="n"/>
      <c r="U19" s="688" t="n"/>
      <c r="V19" s="673" t="n"/>
    </row>
    <row r="20" ht="14.5" customHeight="1" s="408">
      <c r="A20" s="674" t="inlineStr">
        <is>
          <t>小計</t>
        </is>
      </c>
      <c r="B20" s="545">
        <f>SUM(B14:B19)</f>
        <v/>
      </c>
      <c r="C20" s="545">
        <f>SUM(C14:C19)</f>
        <v/>
      </c>
      <c r="D20" s="543">
        <f>SUM(D14:D19)</f>
        <v/>
      </c>
      <c r="E20" s="545">
        <f>SUM(E14:E19)</f>
        <v/>
      </c>
      <c r="F20" s="545">
        <f>SUM(F14:F19)</f>
        <v/>
      </c>
      <c r="G20" s="546">
        <f>SUM(G14:G19)</f>
        <v/>
      </c>
      <c r="H20" s="543">
        <f>SUM(H14:H19)</f>
        <v/>
      </c>
      <c r="I20" s="544">
        <f>SUM(I14:I19)</f>
        <v/>
      </c>
      <c r="J20" s="546">
        <f>SUM(J14:J19)</f>
        <v/>
      </c>
      <c r="K20" s="545">
        <f>SUM(K14:K19)</f>
        <v/>
      </c>
      <c r="L20" s="546">
        <f>SUM(L14:L19)</f>
        <v/>
      </c>
      <c r="M20" s="691">
        <f>SUM(M14:M19)</f>
        <v/>
      </c>
      <c r="N20" s="545">
        <f>SUM(N14:N19)</f>
        <v/>
      </c>
      <c r="O20" s="545">
        <f>SUM(O14:O19)</f>
        <v/>
      </c>
      <c r="P20" s="543">
        <f>SUM(P14:P19)</f>
        <v/>
      </c>
      <c r="Q20" s="545">
        <f>SUM(Q14:Q19)</f>
        <v/>
      </c>
      <c r="R20" s="545">
        <f>SUM(R14:R19)</f>
        <v/>
      </c>
      <c r="S20" s="545">
        <f>SUM(S14:S19)</f>
        <v/>
      </c>
      <c r="T20" s="546">
        <f>SUM(T14:T19)</f>
        <v/>
      </c>
      <c r="U20" s="547">
        <f>SUM(U14:U19)</f>
        <v/>
      </c>
      <c r="V20" s="692" t="n"/>
    </row>
    <row r="21" ht="15" customHeight="1" s="408" thickBot="1">
      <c r="A21" s="489" t="inlineStr">
        <is>
          <t>合   計</t>
        </is>
      </c>
      <c r="B21" s="693">
        <f>B12+B20</f>
        <v/>
      </c>
      <c r="C21" s="693">
        <f>C12+C20</f>
        <v/>
      </c>
      <c r="D21" s="694">
        <f>D12+D20</f>
        <v/>
      </c>
      <c r="E21" s="693">
        <f>E12+E20</f>
        <v/>
      </c>
      <c r="F21" s="693">
        <f>F12+F20</f>
        <v/>
      </c>
      <c r="G21" s="695">
        <f>G12+G20</f>
        <v/>
      </c>
      <c r="H21" s="695">
        <f>H12+H20</f>
        <v/>
      </c>
      <c r="I21" s="696">
        <f>I12+I20</f>
        <v/>
      </c>
      <c r="J21" s="695">
        <f>J12+J20</f>
        <v/>
      </c>
      <c r="K21" s="693">
        <f>K12+K20</f>
        <v/>
      </c>
      <c r="L21" s="694">
        <f>L12+L20</f>
        <v/>
      </c>
      <c r="M21" s="697">
        <f>M12+M20</f>
        <v/>
      </c>
      <c r="N21" s="693">
        <f>N12+N20</f>
        <v/>
      </c>
      <c r="O21" s="693">
        <f>O12+O20</f>
        <v/>
      </c>
      <c r="P21" s="694">
        <f>P12+P20</f>
        <v/>
      </c>
      <c r="Q21" s="693">
        <f>Q12+Q20</f>
        <v/>
      </c>
      <c r="R21" s="693">
        <f>R12+R20</f>
        <v/>
      </c>
      <c r="S21" s="695">
        <f>S12+S20</f>
        <v/>
      </c>
      <c r="T21" s="695">
        <f>T12+T20</f>
        <v/>
      </c>
      <c r="U21" s="696">
        <f>U12+U20</f>
        <v/>
      </c>
      <c r="V21" s="698" t="n"/>
    </row>
    <row r="22" ht="16.5" customHeight="1" s="408">
      <c r="A22" s="699" t="inlineStr">
        <is>
          <t>編制說明：</t>
        </is>
      </c>
      <c r="B22" s="700" t="n"/>
      <c r="C22" s="700" t="n"/>
      <c r="D22" s="700" t="n"/>
      <c r="E22" s="700" t="n"/>
      <c r="F22" s="700" t="n"/>
      <c r="G22" s="700" t="n"/>
      <c r="H22" s="700" t="n"/>
      <c r="I22" s="700" t="n"/>
      <c r="J22" s="700" t="n"/>
      <c r="K22" s="700" t="n"/>
      <c r="L22" s="700" t="n"/>
      <c r="M22" s="700" t="n"/>
      <c r="N22" s="700" t="n"/>
      <c r="O22" s="700" t="n"/>
      <c r="P22" s="700" t="n"/>
      <c r="Q22" s="700" t="n"/>
      <c r="R22" s="701" t="n"/>
      <c r="S22" s="701" t="n"/>
      <c r="T22" s="701" t="n"/>
      <c r="U22" s="702" t="n"/>
      <c r="V22" s="701" t="n"/>
    </row>
    <row r="23" ht="15" customHeight="1" s="408">
      <c r="A23" s="567" t="inlineStr">
        <is>
          <t>1、本年期初數：指投資專案預算年度期初餘額</t>
        </is>
      </c>
      <c r="B23" s="700" t="n"/>
      <c r="C23" s="700" t="n"/>
      <c r="D23" s="700" t="n"/>
      <c r="E23" s="700" t="n"/>
      <c r="F23" s="700" t="n"/>
      <c r="G23" s="700" t="n"/>
      <c r="H23" s="700" t="n"/>
      <c r="I23" s="700" t="n"/>
      <c r="J23" s="700" t="n"/>
      <c r="K23" s="700" t="n"/>
      <c r="L23" s="700" t="n"/>
      <c r="M23" s="700" t="n"/>
      <c r="N23" s="700" t="n"/>
      <c r="O23" s="700" t="n"/>
      <c r="P23" s="700" t="n"/>
      <c r="Q23" s="700" t="n"/>
      <c r="R23" s="701" t="n"/>
      <c r="S23" s="701" t="n"/>
      <c r="T23" s="701" t="n"/>
      <c r="U23" s="702" t="n"/>
      <c r="V23" s="701" t="n"/>
    </row>
    <row r="24" ht="15" customHeight="1" s="408">
      <c r="A24" s="567" t="inlineStr">
        <is>
          <t>2、本年預計追加投資額：指對以前年度投資專案本年追加投資額</t>
        </is>
      </c>
      <c r="B24" s="700" t="n"/>
      <c r="C24" s="700" t="n"/>
      <c r="D24" s="700" t="n"/>
      <c r="E24" s="700" t="n"/>
      <c r="F24" s="700" t="n"/>
      <c r="G24" s="700" t="n"/>
      <c r="H24" s="700" t="n"/>
      <c r="I24" s="700" t="n"/>
      <c r="J24" s="700" t="n"/>
      <c r="K24" s="700" t="n"/>
      <c r="L24" s="700" t="n"/>
      <c r="M24" s="700" t="n"/>
      <c r="N24" s="700" t="n"/>
      <c r="O24" s="700" t="n"/>
      <c r="P24" s="700" t="n"/>
      <c r="Q24" s="700" t="n"/>
      <c r="R24" s="701" t="n"/>
      <c r="S24" s="701" t="n"/>
      <c r="T24" s="701" t="n"/>
      <c r="U24" s="702" t="n"/>
      <c r="V24" s="701" t="n"/>
    </row>
    <row r="25" ht="15" customHeight="1" s="408">
      <c r="A25" s="567" t="inlineStr">
        <is>
          <t>3、至本年末預計累計投資額：指至本年末對投資專案的累計投資額</t>
        </is>
      </c>
      <c r="B25" s="700" t="n"/>
      <c r="C25" s="700" t="n"/>
      <c r="D25" s="700" t="n"/>
      <c r="E25" s="700" t="n"/>
      <c r="F25" s="700" t="n"/>
      <c r="G25" s="700" t="n"/>
      <c r="H25" s="700" t="n"/>
      <c r="I25" s="700" t="n"/>
      <c r="J25" s="700" t="n"/>
      <c r="K25" s="700" t="n"/>
      <c r="L25" s="700" t="n"/>
      <c r="M25" s="700" t="n"/>
      <c r="N25" s="700" t="n"/>
      <c r="O25" s="700" t="n"/>
      <c r="P25" s="700" t="n"/>
      <c r="Q25" s="700" t="n"/>
      <c r="R25" s="701" t="n"/>
      <c r="S25" s="701" t="n"/>
      <c r="T25" s="701" t="n"/>
      <c r="U25" s="702" t="n"/>
      <c r="V25" s="701" t="n"/>
    </row>
    <row r="26" ht="15" customHeight="1" s="408">
      <c r="A26" s="567" t="inlineStr">
        <is>
          <t>4、全年預計現金流入量：指按照投資專案預計收回本金和投資收益的現金數，分月份列示</t>
        </is>
      </c>
      <c r="B26" s="700" t="n"/>
      <c r="C26" s="700" t="n"/>
      <c r="D26" s="700" t="n"/>
      <c r="E26" s="700" t="n"/>
      <c r="F26" s="700" t="n"/>
      <c r="G26" s="700" t="n"/>
      <c r="H26" s="700" t="n"/>
      <c r="I26" s="700" t="n"/>
      <c r="J26" s="700" t="n"/>
      <c r="K26" s="700" t="n"/>
      <c r="L26" s="700" t="n"/>
      <c r="M26" s="700" t="n"/>
      <c r="N26" s="700" t="n"/>
      <c r="O26" s="700" t="n"/>
      <c r="P26" s="700" t="n"/>
      <c r="Q26" s="700" t="n"/>
      <c r="R26" s="701" t="n"/>
      <c r="S26" s="701" t="n"/>
      <c r="T26" s="701" t="n"/>
      <c r="U26" s="702" t="n"/>
      <c r="V26" s="701" t="n"/>
    </row>
    <row r="27" ht="15" customHeight="1" s="408">
      <c r="A27" s="567" t="inlineStr">
        <is>
          <t>5、股票名稱：指將閒置資金投資於股票二級市場的短期投資行為現金支出</t>
        </is>
      </c>
      <c r="B27" s="700" t="n"/>
      <c r="C27" s="700" t="n"/>
      <c r="D27" s="700" t="n"/>
      <c r="E27" s="700" t="n"/>
      <c r="F27" s="700" t="n"/>
      <c r="G27" s="700" t="n"/>
      <c r="H27" s="700" t="n"/>
      <c r="I27" s="700" t="n"/>
      <c r="J27" s="700" t="n"/>
      <c r="K27" s="700" t="n"/>
      <c r="L27" s="700" t="n"/>
      <c r="M27" s="700" t="n"/>
      <c r="N27" s="700" t="n"/>
      <c r="O27" s="700" t="n"/>
      <c r="P27" s="700" t="n"/>
      <c r="Q27" s="700" t="n"/>
      <c r="R27" s="701" t="n"/>
      <c r="S27" s="701" t="n"/>
      <c r="T27" s="701" t="n"/>
      <c r="U27" s="702" t="n"/>
      <c r="V27" s="701" t="n"/>
    </row>
    <row r="28" ht="15" customHeight="1" s="408">
      <c r="A28" s="567" t="inlineStr">
        <is>
          <t>6、債權投資：指將閒置資金投資於債券市場的短期行為現金支出</t>
        </is>
      </c>
      <c r="B28" s="700" t="n"/>
      <c r="C28" s="700" t="n"/>
      <c r="D28" s="700" t="n"/>
      <c r="E28" s="700" t="n"/>
      <c r="F28" s="700" t="n"/>
      <c r="G28" s="700" t="n"/>
      <c r="H28" s="700" t="n"/>
      <c r="I28" s="700" t="n"/>
      <c r="J28" s="700" t="n"/>
      <c r="K28" s="700" t="n"/>
      <c r="L28" s="700" t="n"/>
      <c r="M28" s="700" t="n"/>
      <c r="N28" s="700" t="n"/>
      <c r="O28" s="700" t="n"/>
      <c r="P28" s="700" t="n"/>
      <c r="Q28" s="700" t="n"/>
      <c r="R28" s="701" t="n"/>
      <c r="S28" s="701" t="n"/>
      <c r="T28" s="701" t="n"/>
      <c r="U28" s="702" t="n"/>
      <c r="V28" s="701" t="n"/>
    </row>
    <row r="29" ht="15" customHeight="1" s="408">
      <c r="A29" s="567" t="inlineStr">
        <is>
          <t>7、如果資產變現時發生虧損，投資收益則以“－”填列；“本金收回”根據資產變現比例填列</t>
        </is>
      </c>
      <c r="B29" s="700" t="n"/>
      <c r="C29" s="700" t="n"/>
      <c r="D29" s="700" t="n"/>
      <c r="E29" s="700" t="n"/>
      <c r="F29" s="700" t="n"/>
      <c r="G29" s="700" t="n"/>
      <c r="H29" s="700" t="n"/>
      <c r="I29" s="700" t="n"/>
      <c r="J29" s="700" t="n"/>
      <c r="K29" s="700" t="n"/>
      <c r="L29" s="700" t="n"/>
      <c r="M29" s="700" t="n"/>
      <c r="N29" s="700" t="n"/>
      <c r="O29" s="700" t="n"/>
      <c r="P29" s="700" t="n"/>
      <c r="Q29" s="700" t="n"/>
      <c r="R29" s="701" t="n"/>
      <c r="S29" s="701" t="n"/>
      <c r="T29" s="701" t="n"/>
      <c r="U29" s="701" t="n"/>
      <c r="V29" s="701" t="n"/>
    </row>
  </sheetData>
  <mergeCells count="8">
    <mergeCell ref="A1:V1"/>
    <mergeCell ref="A3:A4"/>
    <mergeCell ref="B3:B4"/>
    <mergeCell ref="V3:V4"/>
    <mergeCell ref="C3:C4"/>
    <mergeCell ref="E3:T3"/>
    <mergeCell ref="D3:D4"/>
    <mergeCell ref="U3:U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W21"/>
  <sheetViews>
    <sheetView workbookViewId="0">
      <selection activeCell="A1" sqref="A1:W21"/>
    </sheetView>
  </sheetViews>
  <sheetFormatPr baseColWidth="8" defaultRowHeight="14"/>
  <sheetData>
    <row r="1" ht="24" customHeight="1" s="408">
      <c r="A1" s="703" t="inlineStr">
        <is>
          <t xml:space="preserve">  購置非流動資產支出現金預算表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n"/>
      <c r="J2" s="266" t="inlineStr">
        <is>
          <t>預算年度：</t>
        </is>
      </c>
      <c r="K2" s="266" t="n"/>
      <c r="L2" s="266" t="n"/>
      <c r="M2" s="266" t="n"/>
      <c r="N2" s="266" t="n"/>
      <c r="O2" s="266" t="n"/>
      <c r="P2" s="266" t="n"/>
      <c r="Q2" s="266" t="n"/>
      <c r="R2" s="266" t="inlineStr">
        <is>
          <t>製表人：</t>
        </is>
      </c>
      <c r="S2" s="266" t="n"/>
      <c r="T2" s="266" t="n"/>
      <c r="U2" s="266" t="n"/>
      <c r="V2" s="266" t="n"/>
      <c r="W2" s="266" t="n"/>
    </row>
    <row r="3" ht="14.5" customHeight="1" s="408">
      <c r="A3" s="704" t="inlineStr">
        <is>
          <t>名稱</t>
        </is>
      </c>
      <c r="B3" s="450" t="inlineStr">
        <is>
          <t>規格</t>
        </is>
      </c>
      <c r="C3" s="450" t="inlineStr">
        <is>
          <t>數量</t>
        </is>
      </c>
      <c r="D3" s="450" t="inlineStr">
        <is>
          <t>單價</t>
        </is>
      </c>
      <c r="E3" s="705" t="inlineStr">
        <is>
          <t>總價</t>
        </is>
      </c>
      <c r="F3" s="446" t="inlineStr">
        <is>
          <t>本期預計現金流出額</t>
        </is>
      </c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447" t="n"/>
      <c r="S3" s="447" t="n"/>
      <c r="T3" s="447" t="n"/>
      <c r="U3" s="447" t="n"/>
      <c r="V3" s="652" t="inlineStr">
        <is>
          <t>年度合計</t>
        </is>
      </c>
      <c r="W3" s="570" t="inlineStr">
        <is>
          <t>預算責任人</t>
        </is>
      </c>
    </row>
    <row r="4" ht="15" customHeight="1" s="408" thickBot="1">
      <c r="A4" s="706" t="n"/>
      <c r="B4" s="464" t="n"/>
      <c r="C4" s="464" t="n"/>
      <c r="D4" s="464" t="n"/>
      <c r="E4" s="707" t="n"/>
      <c r="F4" s="571" t="inlineStr">
        <is>
          <t>1季度</t>
        </is>
      </c>
      <c r="G4" s="572" t="inlineStr">
        <is>
          <t>1月</t>
        </is>
      </c>
      <c r="H4" s="572" t="inlineStr">
        <is>
          <t>2月</t>
        </is>
      </c>
      <c r="I4" s="574" t="inlineStr">
        <is>
          <t>3月</t>
        </is>
      </c>
      <c r="J4" s="575" t="inlineStr">
        <is>
          <t>2季度</t>
        </is>
      </c>
      <c r="K4" s="572" t="inlineStr">
        <is>
          <t>4月</t>
        </is>
      </c>
      <c r="L4" s="572" t="inlineStr">
        <is>
          <t>5月</t>
        </is>
      </c>
      <c r="M4" s="573" t="inlineStr">
        <is>
          <t>6月</t>
        </is>
      </c>
      <c r="N4" s="571" t="inlineStr">
        <is>
          <t>3季度</t>
        </is>
      </c>
      <c r="O4" s="572" t="inlineStr">
        <is>
          <t>7月</t>
        </is>
      </c>
      <c r="P4" s="572" t="inlineStr">
        <is>
          <t>8月</t>
        </is>
      </c>
      <c r="Q4" s="574" t="inlineStr">
        <is>
          <t>9月</t>
        </is>
      </c>
      <c r="R4" s="575" t="inlineStr">
        <is>
          <t>4季度</t>
        </is>
      </c>
      <c r="S4" s="572" t="inlineStr">
        <is>
          <t>10月</t>
        </is>
      </c>
      <c r="T4" s="572" t="inlineStr">
        <is>
          <t>11月</t>
        </is>
      </c>
      <c r="U4" s="574" t="inlineStr">
        <is>
          <t>12月</t>
        </is>
      </c>
      <c r="V4" s="576" t="n"/>
      <c r="W4" s="465" t="n"/>
    </row>
    <row r="5" ht="15" customHeight="1" s="408" thickTop="1">
      <c r="A5" s="708" t="inlineStr">
        <is>
          <t>固定資產：</t>
        </is>
      </c>
      <c r="B5" s="709" t="n"/>
      <c r="C5" s="710" t="n"/>
      <c r="D5" s="710" t="n"/>
      <c r="E5" s="711" t="n"/>
      <c r="F5" s="508">
        <f>SUM(G5:I5)</f>
        <v/>
      </c>
      <c r="G5" s="710" t="n"/>
      <c r="H5" s="710" t="n"/>
      <c r="I5" s="712" t="n"/>
      <c r="J5" s="713">
        <f>SUM(K5:M5)</f>
        <v/>
      </c>
      <c r="K5" s="710" t="n"/>
      <c r="L5" s="710" t="n"/>
      <c r="M5" s="711" t="n"/>
      <c r="N5" s="656">
        <f>SUM(O5:Q5)</f>
        <v/>
      </c>
      <c r="O5" s="710" t="n"/>
      <c r="P5" s="710" t="n"/>
      <c r="Q5" s="712" t="n"/>
      <c r="R5" s="713">
        <f>SUM(S5:U5)</f>
        <v/>
      </c>
      <c r="S5" s="710" t="n"/>
      <c r="T5" s="710" t="n"/>
      <c r="U5" s="711" t="n"/>
      <c r="V5" s="656">
        <f>F5+J5+N5+R5</f>
        <v/>
      </c>
      <c r="W5" s="631" t="n"/>
    </row>
    <row r="6" ht="14.5" customHeight="1" s="408">
      <c r="A6" s="714" t="inlineStr">
        <is>
          <t>電腦</t>
        </is>
      </c>
      <c r="B6" s="715" t="n"/>
      <c r="C6" s="681" t="n"/>
      <c r="D6" s="681" t="n"/>
      <c r="E6" s="682" t="n"/>
      <c r="F6" s="508">
        <f>SUM(G6:I6)</f>
        <v/>
      </c>
      <c r="G6" s="681" t="n"/>
      <c r="H6" s="681" t="n"/>
      <c r="I6" s="716" t="n"/>
      <c r="J6" s="713">
        <f>SUM(K6:M6)</f>
        <v/>
      </c>
      <c r="K6" s="681" t="n"/>
      <c r="L6" s="681" t="n"/>
      <c r="M6" s="682" t="n"/>
      <c r="N6" s="656">
        <f>SUM(O6:Q6)</f>
        <v/>
      </c>
      <c r="O6" s="681" t="n"/>
      <c r="P6" s="681" t="n"/>
      <c r="Q6" s="716" t="n"/>
      <c r="R6" s="713">
        <f>SUM(S6:U6)</f>
        <v/>
      </c>
      <c r="S6" s="681" t="n"/>
      <c r="T6" s="681" t="n"/>
      <c r="U6" s="682" t="n"/>
      <c r="V6" s="656">
        <f>F6+J6+N6+R6</f>
        <v/>
      </c>
      <c r="W6" s="639" t="n"/>
    </row>
    <row r="7" ht="14.5" customHeight="1" s="408">
      <c r="A7" s="714" t="n"/>
      <c r="B7" s="715" t="n"/>
      <c r="C7" s="681" t="n"/>
      <c r="D7" s="681" t="n"/>
      <c r="E7" s="682" t="n"/>
      <c r="F7" s="508">
        <f>SUM(G7:I7)</f>
        <v/>
      </c>
      <c r="G7" s="681" t="n"/>
      <c r="H7" s="681" t="n"/>
      <c r="I7" s="716" t="n"/>
      <c r="J7" s="713">
        <f>SUM(K7:M7)</f>
        <v/>
      </c>
      <c r="K7" s="681" t="n"/>
      <c r="L7" s="681" t="n"/>
      <c r="M7" s="682" t="n"/>
      <c r="N7" s="656">
        <f>SUM(O7:Q7)</f>
        <v/>
      </c>
      <c r="O7" s="681" t="n"/>
      <c r="P7" s="681" t="n"/>
      <c r="Q7" s="716" t="n"/>
      <c r="R7" s="713">
        <f>SUM(S7:U7)</f>
        <v/>
      </c>
      <c r="S7" s="681" t="n"/>
      <c r="T7" s="681" t="n"/>
      <c r="U7" s="682" t="n"/>
      <c r="V7" s="656">
        <f>F7+J7+N7+R7</f>
        <v/>
      </c>
      <c r="W7" s="639" t="n"/>
    </row>
    <row r="8" ht="14.5" customHeight="1" s="408">
      <c r="A8" s="714" t="n"/>
      <c r="B8" s="715" t="n"/>
      <c r="C8" s="681" t="n"/>
      <c r="D8" s="681" t="n"/>
      <c r="E8" s="682" t="n"/>
      <c r="F8" s="508">
        <f>SUM(G8:I8)</f>
        <v/>
      </c>
      <c r="G8" s="681" t="n"/>
      <c r="H8" s="681" t="n"/>
      <c r="I8" s="716" t="n"/>
      <c r="J8" s="713">
        <f>SUM(K8:M8)</f>
        <v/>
      </c>
      <c r="K8" s="681" t="n"/>
      <c r="L8" s="681" t="n"/>
      <c r="M8" s="682" t="n"/>
      <c r="N8" s="656">
        <f>SUM(O8:Q8)</f>
        <v/>
      </c>
      <c r="O8" s="681" t="n"/>
      <c r="P8" s="681" t="n"/>
      <c r="Q8" s="716" t="n"/>
      <c r="R8" s="713">
        <f>SUM(S8:U8)</f>
        <v/>
      </c>
      <c r="S8" s="681" t="n"/>
      <c r="T8" s="681" t="n"/>
      <c r="U8" s="682" t="n"/>
      <c r="V8" s="656">
        <f>F8+J8+N8+R8</f>
        <v/>
      </c>
      <c r="W8" s="639" t="n"/>
    </row>
    <row r="9" ht="14.5" customHeight="1" s="408">
      <c r="A9" s="717" t="n"/>
      <c r="B9" s="718" t="n"/>
      <c r="C9" s="686" t="n"/>
      <c r="D9" s="686" t="n"/>
      <c r="E9" s="687" t="n"/>
      <c r="F9" s="508">
        <f>SUM(G9:I9)</f>
        <v/>
      </c>
      <c r="G9" s="686" t="n"/>
      <c r="H9" s="686" t="n"/>
      <c r="I9" s="719" t="n"/>
      <c r="J9" s="713">
        <f>SUM(K9:M9)</f>
        <v/>
      </c>
      <c r="K9" s="686" t="n"/>
      <c r="L9" s="686" t="n"/>
      <c r="M9" s="687" t="n"/>
      <c r="N9" s="656">
        <f>SUM(O9:Q9)</f>
        <v/>
      </c>
      <c r="O9" s="686" t="n"/>
      <c r="P9" s="686" t="n"/>
      <c r="Q9" s="719" t="n"/>
      <c r="R9" s="713">
        <f>SUM(S9:U9)</f>
        <v/>
      </c>
      <c r="S9" s="686" t="n"/>
      <c r="T9" s="686" t="n"/>
      <c r="U9" s="687" t="n"/>
      <c r="V9" s="656">
        <f>F9+J9+N9+R9</f>
        <v/>
      </c>
      <c r="W9" s="720" t="n"/>
    </row>
    <row r="10" ht="14.5" customHeight="1" s="408">
      <c r="A10" s="721" t="inlineStr">
        <is>
          <t>小計</t>
        </is>
      </c>
      <c r="B10" s="722" t="n"/>
      <c r="C10" s="545">
        <f>SUM(C5:C9)</f>
        <v/>
      </c>
      <c r="D10" s="545">
        <f>SUM(D5:D9)</f>
        <v/>
      </c>
      <c r="E10" s="543">
        <f>SUM(E5:E9)</f>
        <v/>
      </c>
      <c r="F10" s="723">
        <f>SUM(G10:I10)</f>
        <v/>
      </c>
      <c r="G10" s="546">
        <f>SUM(G5:G9)</f>
        <v/>
      </c>
      <c r="H10" s="546">
        <f>SUM(H5:H9)</f>
        <v/>
      </c>
      <c r="I10" s="546">
        <f>SUM(I5:I9)</f>
        <v/>
      </c>
      <c r="J10" s="724">
        <f>SUM(K10:M10)</f>
        <v/>
      </c>
      <c r="K10" s="546">
        <f>SUM(K5:K9)</f>
        <v/>
      </c>
      <c r="L10" s="546">
        <f>SUM(L5:L9)</f>
        <v/>
      </c>
      <c r="M10" s="546">
        <f>SUM(M5:M9)</f>
        <v/>
      </c>
      <c r="N10" s="724">
        <f>SUM(O10:Q10)</f>
        <v/>
      </c>
      <c r="O10" s="546">
        <f>SUM(O5:O9)</f>
        <v/>
      </c>
      <c r="P10" s="546">
        <f>SUM(P5:P9)</f>
        <v/>
      </c>
      <c r="Q10" s="543">
        <f>SUM(Q5:Q9)</f>
        <v/>
      </c>
      <c r="R10" s="724">
        <f>SUM(S10:U10)</f>
        <v/>
      </c>
      <c r="S10" s="546">
        <f>SUM(S5:S9)</f>
        <v/>
      </c>
      <c r="T10" s="546">
        <f>SUM(T5:T9)</f>
        <v/>
      </c>
      <c r="U10" s="543">
        <f>SUM(U5:U9)</f>
        <v/>
      </c>
      <c r="V10" s="725">
        <f>F10+J10+N10+R10</f>
        <v/>
      </c>
      <c r="W10" s="726" t="n"/>
    </row>
    <row r="11" ht="14.5" customHeight="1" s="408">
      <c r="A11" s="708" t="inlineStr">
        <is>
          <t>無形資產</t>
        </is>
      </c>
      <c r="B11" s="709" t="n"/>
      <c r="C11" s="710" t="n"/>
      <c r="D11" s="710" t="n"/>
      <c r="E11" s="711" t="n"/>
      <c r="F11" s="508">
        <f>SUM(G11:I11)</f>
        <v/>
      </c>
      <c r="G11" s="710" t="n"/>
      <c r="H11" s="710" t="n"/>
      <c r="I11" s="712" t="n"/>
      <c r="J11" s="713">
        <f>SUM(K11:M11)</f>
        <v/>
      </c>
      <c r="K11" s="710" t="n"/>
      <c r="L11" s="710" t="n"/>
      <c r="M11" s="711" t="n"/>
      <c r="N11" s="656">
        <f>SUM(O11:Q11)</f>
        <v/>
      </c>
      <c r="O11" s="710" t="n"/>
      <c r="P11" s="710" t="n"/>
      <c r="Q11" s="712" t="n"/>
      <c r="R11" s="713">
        <f>SUM(S11:U11)</f>
        <v/>
      </c>
      <c r="S11" s="710" t="n"/>
      <c r="T11" s="710" t="n"/>
      <c r="U11" s="711" t="n"/>
      <c r="V11" s="656">
        <f>F11+J11+N11+R11</f>
        <v/>
      </c>
      <c r="W11" s="631" t="n"/>
    </row>
    <row r="12" ht="14.5" customHeight="1" s="408">
      <c r="A12" s="714" t="n"/>
      <c r="B12" s="715" t="n"/>
      <c r="C12" s="681" t="n"/>
      <c r="D12" s="681" t="n"/>
      <c r="E12" s="682" t="n"/>
      <c r="F12" s="508">
        <f>SUM(G12:I12)</f>
        <v/>
      </c>
      <c r="G12" s="681" t="n"/>
      <c r="H12" s="681" t="n"/>
      <c r="I12" s="716" t="n"/>
      <c r="J12" s="713">
        <f>SUM(K12:M12)</f>
        <v/>
      </c>
      <c r="K12" s="681" t="n"/>
      <c r="L12" s="681" t="n"/>
      <c r="M12" s="682" t="n"/>
      <c r="N12" s="656">
        <f>SUM(O12:Q12)</f>
        <v/>
      </c>
      <c r="O12" s="681" t="n"/>
      <c r="P12" s="681" t="n"/>
      <c r="Q12" s="716" t="n"/>
      <c r="R12" s="713">
        <f>SUM(S12:U12)</f>
        <v/>
      </c>
      <c r="S12" s="681" t="n"/>
      <c r="T12" s="681" t="n"/>
      <c r="U12" s="682" t="n"/>
      <c r="V12" s="656">
        <f>F12+J12+N12+R12</f>
        <v/>
      </c>
      <c r="W12" s="639" t="n"/>
    </row>
    <row r="13" ht="14.5" customHeight="1" s="408">
      <c r="A13" s="714" t="n"/>
      <c r="B13" s="715" t="n"/>
      <c r="C13" s="681" t="n"/>
      <c r="D13" s="681" t="n"/>
      <c r="E13" s="682" t="n"/>
      <c r="F13" s="508">
        <f>SUM(G13:I13)</f>
        <v/>
      </c>
      <c r="G13" s="681" t="n"/>
      <c r="H13" s="681" t="n"/>
      <c r="I13" s="716" t="n"/>
      <c r="J13" s="713">
        <f>SUM(K13:M13)</f>
        <v/>
      </c>
      <c r="K13" s="681" t="n"/>
      <c r="L13" s="681" t="n"/>
      <c r="M13" s="682" t="n"/>
      <c r="N13" s="656">
        <f>SUM(O13:Q13)</f>
        <v/>
      </c>
      <c r="O13" s="681" t="n"/>
      <c r="P13" s="681" t="n"/>
      <c r="Q13" s="716" t="n"/>
      <c r="R13" s="713">
        <f>SUM(S13:U13)</f>
        <v/>
      </c>
      <c r="S13" s="681" t="n"/>
      <c r="T13" s="681" t="n"/>
      <c r="U13" s="682" t="n"/>
      <c r="V13" s="656">
        <f>F13+J13+N13+R13</f>
        <v/>
      </c>
      <c r="W13" s="639" t="n"/>
    </row>
    <row r="14" ht="14.5" customHeight="1" s="408">
      <c r="A14" s="717" t="n"/>
      <c r="B14" s="718" t="n"/>
      <c r="C14" s="686" t="n"/>
      <c r="D14" s="686" t="n"/>
      <c r="E14" s="687" t="n"/>
      <c r="F14" s="508">
        <f>SUM(G14:I14)</f>
        <v/>
      </c>
      <c r="G14" s="686" t="n"/>
      <c r="H14" s="686" t="n"/>
      <c r="I14" s="719" t="n"/>
      <c r="J14" s="713">
        <f>SUM(K14:M14)</f>
        <v/>
      </c>
      <c r="K14" s="686" t="n"/>
      <c r="L14" s="686" t="n"/>
      <c r="M14" s="687" t="n"/>
      <c r="N14" s="656">
        <f>SUM(O14:Q14)</f>
        <v/>
      </c>
      <c r="O14" s="686" t="n"/>
      <c r="P14" s="686" t="n"/>
      <c r="Q14" s="719" t="n"/>
      <c r="R14" s="713">
        <f>SUM(S14:U14)</f>
        <v/>
      </c>
      <c r="S14" s="686" t="n"/>
      <c r="T14" s="686" t="n"/>
      <c r="U14" s="687" t="n"/>
      <c r="V14" s="656">
        <f>F14+J14+N14+R14</f>
        <v/>
      </c>
      <c r="W14" s="720" t="n"/>
    </row>
    <row r="15" ht="14.5" customHeight="1" s="408">
      <c r="A15" s="721" t="inlineStr">
        <is>
          <t>小計</t>
        </is>
      </c>
      <c r="B15" s="722" t="n"/>
      <c r="C15" s="545">
        <f>SUM(C11:C14)</f>
        <v/>
      </c>
      <c r="D15" s="545">
        <f>SUM(D11:D14)</f>
        <v/>
      </c>
      <c r="E15" s="546">
        <f>SUM(E11:E14)</f>
        <v/>
      </c>
      <c r="F15" s="727">
        <f>SUM(G15:I15)</f>
        <v/>
      </c>
      <c r="G15" s="546">
        <f>SUM(G11:G14)</f>
        <v/>
      </c>
      <c r="H15" s="545">
        <f>SUM(H11:H14)</f>
        <v/>
      </c>
      <c r="I15" s="546">
        <f>SUM(I11:I14)</f>
        <v/>
      </c>
      <c r="J15" s="724">
        <f>SUM(K15:M15)</f>
        <v/>
      </c>
      <c r="K15" s="546">
        <f>SUM(K11:K14)</f>
        <v/>
      </c>
      <c r="L15" s="545">
        <f>SUM(L11:L14)</f>
        <v/>
      </c>
      <c r="M15" s="543">
        <f>SUM(M11:M14)</f>
        <v/>
      </c>
      <c r="N15" s="725">
        <f>SUM(O15:Q15)</f>
        <v/>
      </c>
      <c r="O15" s="546">
        <f>SUM(O11:O14)</f>
        <v/>
      </c>
      <c r="P15" s="545">
        <f>SUM(P11:P14)</f>
        <v/>
      </c>
      <c r="Q15" s="543">
        <f>SUM(Q11:Q14)</f>
        <v/>
      </c>
      <c r="R15" s="724">
        <f>SUM(S15:U15)</f>
        <v/>
      </c>
      <c r="S15" s="546">
        <f>SUM(S11:S14)</f>
        <v/>
      </c>
      <c r="T15" s="545">
        <f>SUM(T11:T14)</f>
        <v/>
      </c>
      <c r="U15" s="543">
        <f>SUM(U11:U14)</f>
        <v/>
      </c>
      <c r="V15" s="725">
        <f>F15+J15+N15+R15</f>
        <v/>
      </c>
      <c r="W15" s="726" t="n"/>
    </row>
    <row r="16" ht="14.5" customHeight="1" s="408">
      <c r="A16" s="708" t="inlineStr">
        <is>
          <t>其他長期資產</t>
        </is>
      </c>
      <c r="B16" s="709" t="n"/>
      <c r="C16" s="710" t="n"/>
      <c r="D16" s="710" t="n"/>
      <c r="E16" s="711" t="n"/>
      <c r="F16" s="508">
        <f>SUM(G16:I16)</f>
        <v/>
      </c>
      <c r="G16" s="710" t="n"/>
      <c r="H16" s="710" t="n"/>
      <c r="I16" s="712" t="n"/>
      <c r="J16" s="713">
        <f>SUM(K16:M16)</f>
        <v/>
      </c>
      <c r="K16" s="710" t="n"/>
      <c r="L16" s="710" t="n"/>
      <c r="M16" s="711" t="n"/>
      <c r="N16" s="656">
        <f>SUM(O16:Q16)</f>
        <v/>
      </c>
      <c r="O16" s="710" t="n"/>
      <c r="P16" s="710" t="n"/>
      <c r="Q16" s="712" t="n"/>
      <c r="R16" s="713">
        <f>SUM(S16:U16)</f>
        <v/>
      </c>
      <c r="S16" s="710" t="n"/>
      <c r="T16" s="710" t="n"/>
      <c r="U16" s="711" t="n"/>
      <c r="V16" s="656">
        <f>F16+J16+N16+R16</f>
        <v/>
      </c>
      <c r="W16" s="631" t="n"/>
    </row>
    <row r="17" ht="14.5" customHeight="1" s="408">
      <c r="A17" s="714" t="n"/>
      <c r="B17" s="715" t="n"/>
      <c r="C17" s="681" t="n"/>
      <c r="D17" s="681" t="n"/>
      <c r="E17" s="682" t="n"/>
      <c r="F17" s="508">
        <f>SUM(G17:I17)</f>
        <v/>
      </c>
      <c r="G17" s="681" t="n"/>
      <c r="H17" s="681" t="n"/>
      <c r="I17" s="716" t="n"/>
      <c r="J17" s="713">
        <f>SUM(K17:M17)</f>
        <v/>
      </c>
      <c r="K17" s="681" t="n"/>
      <c r="L17" s="681" t="n"/>
      <c r="M17" s="682" t="n"/>
      <c r="N17" s="656">
        <f>SUM(O17:Q17)</f>
        <v/>
      </c>
      <c r="O17" s="681" t="n"/>
      <c r="P17" s="681" t="n"/>
      <c r="Q17" s="716" t="n"/>
      <c r="R17" s="713">
        <f>SUM(S17:U17)</f>
        <v/>
      </c>
      <c r="S17" s="681" t="n"/>
      <c r="T17" s="681" t="n"/>
      <c r="U17" s="682" t="n"/>
      <c r="V17" s="656">
        <f>F17+J17+N17+R17</f>
        <v/>
      </c>
      <c r="W17" s="639" t="n"/>
    </row>
    <row r="18" ht="14.5" customHeight="1" s="408">
      <c r="A18" s="714" t="n"/>
      <c r="B18" s="715" t="n"/>
      <c r="C18" s="681" t="n"/>
      <c r="D18" s="681" t="n"/>
      <c r="E18" s="682" t="n"/>
      <c r="F18" s="508">
        <f>SUM(G18:I18)</f>
        <v/>
      </c>
      <c r="G18" s="681" t="n"/>
      <c r="H18" s="681" t="n"/>
      <c r="I18" s="716" t="n"/>
      <c r="J18" s="713">
        <f>SUM(K18:M18)</f>
        <v/>
      </c>
      <c r="K18" s="681" t="n"/>
      <c r="L18" s="681" t="n"/>
      <c r="M18" s="682" t="n"/>
      <c r="N18" s="656">
        <f>SUM(O18:Q18)</f>
        <v/>
      </c>
      <c r="O18" s="681" t="n"/>
      <c r="P18" s="681" t="n"/>
      <c r="Q18" s="716" t="n"/>
      <c r="R18" s="713">
        <f>SUM(S18:U18)</f>
        <v/>
      </c>
      <c r="S18" s="681" t="n"/>
      <c r="T18" s="681" t="n"/>
      <c r="U18" s="682" t="n"/>
      <c r="V18" s="656">
        <f>F18+J18+N18+R18</f>
        <v/>
      </c>
      <c r="W18" s="639" t="n"/>
    </row>
    <row r="19" ht="14.5" customHeight="1" s="408">
      <c r="A19" s="717" t="n"/>
      <c r="B19" s="718" t="n"/>
      <c r="C19" s="686" t="n"/>
      <c r="D19" s="686" t="n"/>
      <c r="E19" s="687" t="n"/>
      <c r="F19" s="508">
        <f>SUM(G19:I19)</f>
        <v/>
      </c>
      <c r="G19" s="686" t="n"/>
      <c r="H19" s="686" t="n"/>
      <c r="I19" s="719" t="n"/>
      <c r="J19" s="713">
        <f>SUM(K19:M19)</f>
        <v/>
      </c>
      <c r="K19" s="686" t="n"/>
      <c r="L19" s="686" t="n"/>
      <c r="M19" s="687" t="n"/>
      <c r="N19" s="656">
        <f>SUM(O19:Q19)</f>
        <v/>
      </c>
      <c r="O19" s="686" t="n"/>
      <c r="P19" s="686" t="n"/>
      <c r="Q19" s="719" t="n"/>
      <c r="R19" s="713">
        <f>SUM(S19:U19)</f>
        <v/>
      </c>
      <c r="S19" s="686" t="n"/>
      <c r="T19" s="686" t="n"/>
      <c r="U19" s="687" t="n"/>
      <c r="V19" s="656">
        <f>F19+J19+N19+R19</f>
        <v/>
      </c>
      <c r="W19" s="720" t="n"/>
    </row>
    <row r="20" ht="14.5" customHeight="1" s="408">
      <c r="A20" s="674" t="inlineStr">
        <is>
          <t>小計</t>
        </is>
      </c>
      <c r="B20" s="722" t="n"/>
      <c r="C20" s="545">
        <f>SUM(C16:C19)</f>
        <v/>
      </c>
      <c r="D20" s="545">
        <f>SUM(D16:D19)</f>
        <v/>
      </c>
      <c r="E20" s="543">
        <f>SUM(E16:E19)</f>
        <v/>
      </c>
      <c r="F20" s="545">
        <f>SUM(F16:F19)</f>
        <v/>
      </c>
      <c r="G20" s="545">
        <f>SUM(G16:G19)</f>
        <v/>
      </c>
      <c r="H20" s="545">
        <f>SUM(H16:H19)</f>
        <v/>
      </c>
      <c r="I20" s="543">
        <f>SUM(I16:I19)</f>
        <v/>
      </c>
      <c r="J20" s="545">
        <f>SUM(J16:J19)</f>
        <v/>
      </c>
      <c r="K20" s="546">
        <f>SUM(K16:K19)</f>
        <v/>
      </c>
      <c r="L20" s="545">
        <f>SUM(L16:L19)</f>
        <v/>
      </c>
      <c r="M20" s="543">
        <f>SUM(M16:M19)</f>
        <v/>
      </c>
      <c r="N20" s="545">
        <f>SUM(N16:N19)</f>
        <v/>
      </c>
      <c r="O20" s="545">
        <f>SUM(O16:O19)</f>
        <v/>
      </c>
      <c r="P20" s="545">
        <f>SUM(P16:P19)</f>
        <v/>
      </c>
      <c r="Q20" s="543">
        <f>SUM(Q16:Q19)</f>
        <v/>
      </c>
      <c r="R20" s="545">
        <f>SUM(R16:R19)</f>
        <v/>
      </c>
      <c r="S20" s="545">
        <f>SUM(S16:S19)</f>
        <v/>
      </c>
      <c r="T20" s="545">
        <f>SUM(T16:T19)</f>
        <v/>
      </c>
      <c r="U20" s="543">
        <f>SUM(U16:U19)</f>
        <v/>
      </c>
      <c r="V20" s="725">
        <f>F20+J20+N20+R20</f>
        <v/>
      </c>
      <c r="W20" s="549" t="n"/>
    </row>
    <row r="21" ht="15" customHeight="1" s="408" thickBot="1">
      <c r="A21" s="489" t="inlineStr">
        <is>
          <t>合     計</t>
        </is>
      </c>
      <c r="B21" s="728" t="n"/>
      <c r="C21" s="693">
        <f>C10+C15+C20</f>
        <v/>
      </c>
      <c r="D21" s="693">
        <f>D10+D15+D20</f>
        <v/>
      </c>
      <c r="E21" s="694">
        <f>E10+E15+E20</f>
        <v/>
      </c>
      <c r="F21" s="693">
        <f>F10+F15+F20</f>
        <v/>
      </c>
      <c r="G21" s="695">
        <f>G10+G15+G20</f>
        <v/>
      </c>
      <c r="H21" s="693">
        <f>H10+H15+H20</f>
        <v/>
      </c>
      <c r="I21" s="694">
        <f>I10+I15+I20</f>
        <v/>
      </c>
      <c r="J21" s="693">
        <f>J10+J15+J20</f>
        <v/>
      </c>
      <c r="K21" s="695">
        <f>K10+K15+K20</f>
        <v/>
      </c>
      <c r="L21" s="693">
        <f>L10+L15+L20</f>
        <v/>
      </c>
      <c r="M21" s="694">
        <f>M10+M15+M20</f>
        <v/>
      </c>
      <c r="N21" s="693">
        <f>N10+N15+N20</f>
        <v/>
      </c>
      <c r="O21" s="695">
        <f>O10+O15+O20</f>
        <v/>
      </c>
      <c r="P21" s="693">
        <f>P10+P15+P20</f>
        <v/>
      </c>
      <c r="Q21" s="694">
        <f>Q10+Q15+Q20</f>
        <v/>
      </c>
      <c r="R21" s="693">
        <f>R10+R15+R20</f>
        <v/>
      </c>
      <c r="S21" s="693">
        <f>S10+S15+S20</f>
        <v/>
      </c>
      <c r="T21" s="693">
        <f>T10+T15+T20</f>
        <v/>
      </c>
      <c r="U21" s="694">
        <f>U10+U15+U20</f>
        <v/>
      </c>
      <c r="V21" s="729">
        <f>F21+J21+N21+R21</f>
        <v/>
      </c>
      <c r="W21" s="730" t="n"/>
    </row>
  </sheetData>
  <mergeCells count="9">
    <mergeCell ref="A1:W1"/>
    <mergeCell ref="C3:C4"/>
    <mergeCell ref="B3:B4"/>
    <mergeCell ref="A3:A4"/>
    <mergeCell ref="E3:E4"/>
    <mergeCell ref="V3:V4"/>
    <mergeCell ref="D3:D4"/>
    <mergeCell ref="F3:U3"/>
    <mergeCell ref="W3:W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U27"/>
  <sheetViews>
    <sheetView workbookViewId="0">
      <selection activeCell="A1" sqref="A1:U1"/>
    </sheetView>
  </sheetViews>
  <sheetFormatPr baseColWidth="8" defaultRowHeight="14"/>
  <sheetData>
    <row r="1" ht="24" customHeight="1" s="408">
      <c r="A1" s="409" t="inlineStr">
        <is>
          <t xml:space="preserve">         投資支出現金預算表       </t>
        </is>
      </c>
    </row>
    <row r="2" ht="15" customHeight="1" s="408" thickBot="1">
      <c r="A2" s="266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n"/>
      <c r="J2" s="266" t="n"/>
      <c r="K2" s="266" t="inlineStr">
        <is>
          <t>預算年度：</t>
        </is>
      </c>
      <c r="L2" s="266" t="n"/>
      <c r="M2" s="266" t="n"/>
      <c r="N2" s="266" t="n"/>
      <c r="O2" s="266" t="n"/>
      <c r="P2" s="266" t="n"/>
      <c r="Q2" s="266" t="n"/>
      <c r="R2" s="266" t="n"/>
      <c r="S2" s="266" t="inlineStr">
        <is>
          <t>製表人：</t>
        </is>
      </c>
      <c r="T2" s="266" t="n"/>
      <c r="U2" s="266" t="n"/>
    </row>
    <row r="3" ht="14.5" customHeight="1" s="408">
      <c r="A3" s="704" t="inlineStr">
        <is>
          <t>項   目</t>
        </is>
      </c>
      <c r="B3" s="705" t="inlineStr">
        <is>
          <t>本年期初數</t>
        </is>
      </c>
      <c r="C3" s="731" t="inlineStr">
        <is>
          <t>本期預計追加投資現金流出額</t>
        </is>
      </c>
      <c r="D3" s="447" t="n"/>
      <c r="E3" s="447" t="n"/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447" t="n"/>
      <c r="S3" s="569" t="inlineStr">
        <is>
          <t>全年合計</t>
        </is>
      </c>
      <c r="T3" s="450" t="inlineStr">
        <is>
          <t>至本年末預計累計投資額</t>
        </is>
      </c>
      <c r="U3" s="570" t="inlineStr">
        <is>
          <t>預算責任人</t>
        </is>
      </c>
    </row>
    <row r="4" ht="15" customHeight="1" s="408" thickBot="1">
      <c r="A4" s="706" t="n"/>
      <c r="B4" s="707" t="n"/>
      <c r="C4" s="571" t="inlineStr">
        <is>
          <t>1季度</t>
        </is>
      </c>
      <c r="D4" s="572" t="inlineStr">
        <is>
          <t>1月</t>
        </is>
      </c>
      <c r="E4" s="572" t="inlineStr">
        <is>
          <t>2月</t>
        </is>
      </c>
      <c r="F4" s="574" t="inlineStr">
        <is>
          <t>3月</t>
        </is>
      </c>
      <c r="G4" s="575" t="inlineStr">
        <is>
          <t>2季度</t>
        </is>
      </c>
      <c r="H4" s="572" t="inlineStr">
        <is>
          <t>4月</t>
        </is>
      </c>
      <c r="I4" s="572" t="inlineStr">
        <is>
          <t>5月</t>
        </is>
      </c>
      <c r="J4" s="573" t="inlineStr">
        <is>
          <t>6月</t>
        </is>
      </c>
      <c r="K4" s="571" t="inlineStr">
        <is>
          <t>3季度</t>
        </is>
      </c>
      <c r="L4" s="572" t="inlineStr">
        <is>
          <t>7月</t>
        </is>
      </c>
      <c r="M4" s="572" t="inlineStr">
        <is>
          <t>8月</t>
        </is>
      </c>
      <c r="N4" s="574" t="inlineStr">
        <is>
          <t>9月</t>
        </is>
      </c>
      <c r="O4" s="575" t="inlineStr">
        <is>
          <t>4季度</t>
        </is>
      </c>
      <c r="P4" s="572" t="inlineStr">
        <is>
          <t>10月</t>
        </is>
      </c>
      <c r="Q4" s="572" t="inlineStr">
        <is>
          <t>11月</t>
        </is>
      </c>
      <c r="R4" s="574" t="inlineStr">
        <is>
          <t>12月</t>
        </is>
      </c>
      <c r="S4" s="576" t="n"/>
      <c r="T4" s="464" t="n"/>
      <c r="U4" s="465" t="n"/>
    </row>
    <row r="5" ht="15" customHeight="1" s="408" thickTop="1">
      <c r="A5" s="732" t="inlineStr">
        <is>
          <t>一、長期股權投資</t>
        </is>
      </c>
      <c r="B5" s="733" t="n"/>
      <c r="C5" s="508">
        <f>SUM(D5:F5)</f>
        <v/>
      </c>
      <c r="D5" s="710" t="n"/>
      <c r="E5" s="710" t="n"/>
      <c r="F5" s="712" t="n"/>
      <c r="G5" s="505">
        <f>SUM(H5:J5)</f>
        <v/>
      </c>
      <c r="H5" s="710" t="n"/>
      <c r="I5" s="710" t="n"/>
      <c r="J5" s="711" t="n"/>
      <c r="K5" s="508">
        <f>SUM(L5:N5)</f>
        <v/>
      </c>
      <c r="L5" s="710" t="n"/>
      <c r="M5" s="710" t="n"/>
      <c r="N5" s="712" t="n"/>
      <c r="O5" s="505">
        <f>SUM(P5:R5)</f>
        <v/>
      </c>
      <c r="P5" s="710" t="n"/>
      <c r="Q5" s="710" t="n"/>
      <c r="R5" s="711" t="n"/>
      <c r="S5" s="656">
        <f>C5+G5+K5+O5</f>
        <v/>
      </c>
      <c r="T5" s="709" t="n"/>
      <c r="U5" s="631" t="n"/>
    </row>
    <row r="6" ht="14.5" customHeight="1" s="408">
      <c r="A6" s="660" t="n">
        <v>1</v>
      </c>
      <c r="B6" s="598" t="n"/>
      <c r="C6" s="508">
        <f>SUM(D6:F6)</f>
        <v/>
      </c>
      <c r="D6" s="681" t="n"/>
      <c r="E6" s="681" t="n"/>
      <c r="F6" s="716" t="n"/>
      <c r="G6" s="505">
        <f>SUM(H6:J6)</f>
        <v/>
      </c>
      <c r="H6" s="681" t="n"/>
      <c r="I6" s="681" t="n"/>
      <c r="J6" s="682" t="n"/>
      <c r="K6" s="508">
        <f>SUM(L6:N6)</f>
        <v/>
      </c>
      <c r="L6" s="681" t="n"/>
      <c r="M6" s="681" t="n"/>
      <c r="N6" s="716" t="n"/>
      <c r="O6" s="505">
        <f>SUM(P6:R6)</f>
        <v/>
      </c>
      <c r="P6" s="681" t="n"/>
      <c r="Q6" s="681" t="n"/>
      <c r="R6" s="682" t="n"/>
      <c r="S6" s="656">
        <f>C6+G6+K6+O6</f>
        <v/>
      </c>
      <c r="T6" s="715" t="n"/>
      <c r="U6" s="639" t="n"/>
    </row>
    <row r="7" ht="14.5" customHeight="1" s="408">
      <c r="A7" s="660" t="n">
        <v>2</v>
      </c>
      <c r="B7" s="598" t="n"/>
      <c r="C7" s="508">
        <f>SUM(D7:F7)</f>
        <v/>
      </c>
      <c r="D7" s="681" t="n"/>
      <c r="E7" s="681" t="n"/>
      <c r="F7" s="716" t="n"/>
      <c r="G7" s="505">
        <f>SUM(H7:J7)</f>
        <v/>
      </c>
      <c r="H7" s="681" t="n"/>
      <c r="I7" s="681" t="n"/>
      <c r="J7" s="682" t="n"/>
      <c r="K7" s="508">
        <f>SUM(L7:N7)</f>
        <v/>
      </c>
      <c r="L7" s="681" t="n"/>
      <c r="M7" s="681" t="n"/>
      <c r="N7" s="716" t="n"/>
      <c r="O7" s="505">
        <f>SUM(P7:R7)</f>
        <v/>
      </c>
      <c r="P7" s="681" t="n"/>
      <c r="Q7" s="681" t="n"/>
      <c r="R7" s="682" t="n"/>
      <c r="S7" s="656">
        <f>C7+G7+K7+O7</f>
        <v/>
      </c>
      <c r="T7" s="715" t="n"/>
      <c r="U7" s="639" t="n"/>
    </row>
    <row r="8" ht="14.5" customHeight="1" s="408">
      <c r="A8" s="734" t="inlineStr">
        <is>
          <t>小 計</t>
        </is>
      </c>
      <c r="B8" s="543">
        <f>SUM(B5:B7)</f>
        <v/>
      </c>
      <c r="C8" s="545">
        <f>SUM(C5:C7)</f>
        <v/>
      </c>
      <c r="D8" s="545">
        <f>SUM(D5:D7)</f>
        <v/>
      </c>
      <c r="E8" s="545">
        <f>SUM(E5:E7)</f>
        <v/>
      </c>
      <c r="F8" s="543">
        <f>SUM(F5:F7)</f>
        <v/>
      </c>
      <c r="G8" s="545">
        <f>SUM(G5:G7)</f>
        <v/>
      </c>
      <c r="H8" s="545">
        <f>SUM(H5:H7)</f>
        <v/>
      </c>
      <c r="I8" s="545">
        <f>SUM(I5:I7)</f>
        <v/>
      </c>
      <c r="J8" s="543">
        <f>SUM(J5:J7)</f>
        <v/>
      </c>
      <c r="K8" s="545">
        <f>SUM(K5:K7)</f>
        <v/>
      </c>
      <c r="L8" s="545">
        <f>SUM(L5:L7)</f>
        <v/>
      </c>
      <c r="M8" s="545">
        <f>SUM(M5:M7)</f>
        <v/>
      </c>
      <c r="N8" s="543">
        <f>SUM(N5:N7)</f>
        <v/>
      </c>
      <c r="O8" s="545">
        <f>SUM(O5:O7)</f>
        <v/>
      </c>
      <c r="P8" s="545">
        <f>SUM(P5:P7)</f>
        <v/>
      </c>
      <c r="Q8" s="545">
        <f>SUM(Q5:Q7)</f>
        <v/>
      </c>
      <c r="R8" s="543">
        <f>SUM(R5:R7)</f>
        <v/>
      </c>
      <c r="S8" s="725">
        <f>C8+G8+K8+O8</f>
        <v/>
      </c>
      <c r="T8" s="735" t="n"/>
      <c r="U8" s="736" t="n"/>
    </row>
    <row r="9" ht="14.5" customHeight="1" s="408">
      <c r="A9" s="732" t="inlineStr">
        <is>
          <t>二、股票投資</t>
        </is>
      </c>
      <c r="B9" s="733" t="n"/>
      <c r="C9" s="656">
        <f>SUM(D9:F9)</f>
        <v/>
      </c>
      <c r="D9" s="710" t="n"/>
      <c r="E9" s="710" t="n"/>
      <c r="F9" s="712" t="n"/>
      <c r="G9" s="505">
        <f>SUM(H9:J9)</f>
        <v/>
      </c>
      <c r="H9" s="710" t="n"/>
      <c r="I9" s="710" t="n"/>
      <c r="J9" s="711" t="n"/>
      <c r="K9" s="656">
        <f>SUM(L9:N9)</f>
        <v/>
      </c>
      <c r="L9" s="710" t="n"/>
      <c r="M9" s="710" t="n"/>
      <c r="N9" s="712" t="n"/>
      <c r="O9" s="713">
        <f>SUM(P9:R9)</f>
        <v/>
      </c>
      <c r="P9" s="710" t="n"/>
      <c r="Q9" s="710" t="n"/>
      <c r="R9" s="711" t="n"/>
      <c r="S9" s="656">
        <f>C9+G9+K9+O9</f>
        <v/>
      </c>
      <c r="T9" s="709" t="n"/>
      <c r="U9" s="631" t="n"/>
    </row>
    <row r="10" ht="14.5" customHeight="1" s="408">
      <c r="A10" s="660" t="n">
        <v>1</v>
      </c>
      <c r="B10" s="737" t="n"/>
      <c r="C10" s="656">
        <f>SUM(D10:F10)</f>
        <v/>
      </c>
      <c r="D10" s="681" t="n"/>
      <c r="E10" s="681" t="n"/>
      <c r="F10" s="716" t="n"/>
      <c r="G10" s="505">
        <f>SUM(H10:J10)</f>
        <v/>
      </c>
      <c r="H10" s="681" t="n"/>
      <c r="I10" s="681" t="n"/>
      <c r="J10" s="682" t="n"/>
      <c r="K10" s="656">
        <f>SUM(L10:N10)</f>
        <v/>
      </c>
      <c r="L10" s="681" t="n"/>
      <c r="M10" s="681" t="n"/>
      <c r="N10" s="716" t="n"/>
      <c r="O10" s="713">
        <f>SUM(P10:R10)</f>
        <v/>
      </c>
      <c r="P10" s="681" t="n"/>
      <c r="Q10" s="681" t="n"/>
      <c r="R10" s="682" t="n"/>
      <c r="S10" s="656">
        <f>C10+G10+K10+O10</f>
        <v/>
      </c>
      <c r="T10" s="715" t="n"/>
      <c r="U10" s="639" t="n"/>
    </row>
    <row r="11" ht="14.5" customHeight="1" s="408">
      <c r="A11" s="660" t="n">
        <v>2</v>
      </c>
      <c r="B11" s="737" t="n"/>
      <c r="C11" s="656">
        <f>SUM(D11:F11)</f>
        <v/>
      </c>
      <c r="D11" s="681" t="n"/>
      <c r="E11" s="681" t="n"/>
      <c r="F11" s="716" t="n"/>
      <c r="G11" s="505">
        <f>SUM(H11:J11)</f>
        <v/>
      </c>
      <c r="H11" s="681" t="n"/>
      <c r="I11" s="681" t="n"/>
      <c r="J11" s="682" t="n"/>
      <c r="K11" s="656">
        <f>SUM(L11:N11)</f>
        <v/>
      </c>
      <c r="L11" s="681" t="n"/>
      <c r="M11" s="681" t="n"/>
      <c r="N11" s="716" t="n"/>
      <c r="O11" s="713">
        <f>SUM(P11:R11)</f>
        <v/>
      </c>
      <c r="P11" s="681" t="n"/>
      <c r="Q11" s="681" t="n"/>
      <c r="R11" s="682" t="n"/>
      <c r="S11" s="656">
        <f>C11+G11+K11+O11</f>
        <v/>
      </c>
      <c r="T11" s="715" t="n"/>
      <c r="U11" s="639" t="n"/>
    </row>
    <row r="12" ht="14.5" customHeight="1" s="408">
      <c r="A12" s="734" t="inlineStr">
        <is>
          <t>小 計</t>
        </is>
      </c>
      <c r="B12" s="543">
        <f>SUM(B9:B11)</f>
        <v/>
      </c>
      <c r="C12" s="545">
        <f>SUM(C9:C11)</f>
        <v/>
      </c>
      <c r="D12" s="545">
        <f>SUM(D9:D11)</f>
        <v/>
      </c>
      <c r="E12" s="545">
        <f>SUM(E9:E11)</f>
        <v/>
      </c>
      <c r="F12" s="543">
        <f>SUM(F9:F11)</f>
        <v/>
      </c>
      <c r="G12" s="545">
        <f>SUM(G9:G11)</f>
        <v/>
      </c>
      <c r="H12" s="545">
        <f>SUM(H9:H11)</f>
        <v/>
      </c>
      <c r="I12" s="545">
        <f>SUM(I9:I11)</f>
        <v/>
      </c>
      <c r="J12" s="543">
        <f>SUM(J9:J11)</f>
        <v/>
      </c>
      <c r="K12" s="545">
        <f>SUM(K9:K11)</f>
        <v/>
      </c>
      <c r="L12" s="545">
        <f>SUM(L9:L11)</f>
        <v/>
      </c>
      <c r="M12" s="545">
        <f>SUM(M9:M11)</f>
        <v/>
      </c>
      <c r="N12" s="543">
        <f>SUM(N9:N11)</f>
        <v/>
      </c>
      <c r="O12" s="545">
        <f>SUM(O9:O11)</f>
        <v/>
      </c>
      <c r="P12" s="545">
        <f>SUM(P9:P11)</f>
        <v/>
      </c>
      <c r="Q12" s="545">
        <f>SUM(Q9:Q11)</f>
        <v/>
      </c>
      <c r="R12" s="543">
        <f>SUM(R9:R11)</f>
        <v/>
      </c>
      <c r="S12" s="738">
        <f>C12+G12+K12+O12</f>
        <v/>
      </c>
      <c r="T12" s="739" t="n"/>
      <c r="U12" s="726" t="n"/>
    </row>
    <row r="13" ht="14.5" customHeight="1" s="408">
      <c r="A13" s="732" t="inlineStr">
        <is>
          <t>三、債券投資</t>
        </is>
      </c>
      <c r="B13" s="733" t="n"/>
      <c r="C13" s="508">
        <f>SUM(D13:F13)</f>
        <v/>
      </c>
      <c r="D13" s="710" t="n"/>
      <c r="E13" s="710" t="n"/>
      <c r="F13" s="712" t="n"/>
      <c r="G13" s="713">
        <f>SUM(H13:J13)</f>
        <v/>
      </c>
      <c r="H13" s="710" t="n"/>
      <c r="I13" s="710" t="n"/>
      <c r="J13" s="711" t="n"/>
      <c r="K13" s="508">
        <f>SUM(L13:N13)</f>
        <v/>
      </c>
      <c r="L13" s="710" t="n"/>
      <c r="M13" s="710" t="n"/>
      <c r="N13" s="712" t="n"/>
      <c r="O13" s="505">
        <f>SUM(P13:R13)</f>
        <v/>
      </c>
      <c r="P13" s="710" t="n"/>
      <c r="Q13" s="710" t="n"/>
      <c r="R13" s="711" t="n"/>
      <c r="S13" s="740">
        <f>C13+G13+K13+O13</f>
        <v/>
      </c>
      <c r="T13" s="709" t="n"/>
      <c r="U13" s="631" t="n"/>
    </row>
    <row r="14" ht="14.5" customHeight="1" s="408">
      <c r="A14" s="660" t="n">
        <v>1</v>
      </c>
      <c r="B14" s="737" t="n"/>
      <c r="C14" s="508">
        <f>SUM(D14:F14)</f>
        <v/>
      </c>
      <c r="D14" s="681" t="n"/>
      <c r="E14" s="681" t="n"/>
      <c r="F14" s="716" t="n"/>
      <c r="G14" s="713">
        <f>SUM(H14:J14)</f>
        <v/>
      </c>
      <c r="H14" s="681" t="n"/>
      <c r="I14" s="681" t="n"/>
      <c r="J14" s="682" t="n"/>
      <c r="K14" s="508">
        <f>SUM(L14:N14)</f>
        <v/>
      </c>
      <c r="L14" s="681" t="n"/>
      <c r="M14" s="681" t="n"/>
      <c r="N14" s="716" t="n"/>
      <c r="O14" s="505">
        <f>SUM(P14:R14)</f>
        <v/>
      </c>
      <c r="P14" s="681" t="n"/>
      <c r="Q14" s="681" t="n"/>
      <c r="R14" s="682" t="n"/>
      <c r="S14" s="656">
        <f>C14+G14+K14+O14</f>
        <v/>
      </c>
      <c r="T14" s="715" t="n"/>
      <c r="U14" s="639" t="n"/>
    </row>
    <row r="15" ht="14.5" customHeight="1" s="408">
      <c r="A15" s="660" t="n">
        <v>2</v>
      </c>
      <c r="B15" s="737" t="n"/>
      <c r="C15" s="508">
        <f>SUM(D15:F15)</f>
        <v/>
      </c>
      <c r="D15" s="681" t="n"/>
      <c r="E15" s="681" t="n"/>
      <c r="F15" s="716" t="n"/>
      <c r="G15" s="713">
        <f>SUM(H15:J15)</f>
        <v/>
      </c>
      <c r="H15" s="681" t="n"/>
      <c r="I15" s="681" t="n"/>
      <c r="J15" s="682" t="n"/>
      <c r="K15" s="508">
        <f>SUM(L15:N15)</f>
        <v/>
      </c>
      <c r="L15" s="681" t="n"/>
      <c r="M15" s="681" t="n"/>
      <c r="N15" s="716" t="n"/>
      <c r="O15" s="505">
        <f>SUM(P15:R15)</f>
        <v/>
      </c>
      <c r="P15" s="681" t="n"/>
      <c r="Q15" s="681" t="n"/>
      <c r="R15" s="682" t="n"/>
      <c r="S15" s="656">
        <f>C15+G15+K15+O15</f>
        <v/>
      </c>
      <c r="T15" s="715" t="n"/>
      <c r="U15" s="639" t="n"/>
    </row>
    <row r="16" ht="14.5" customHeight="1" s="408">
      <c r="A16" s="734" t="inlineStr">
        <is>
          <t>小  計</t>
        </is>
      </c>
      <c r="B16" s="543">
        <f>SUM(B13:B15)</f>
        <v/>
      </c>
      <c r="C16" s="545">
        <f>SUM(C13:C15)</f>
        <v/>
      </c>
      <c r="D16" s="545">
        <f>SUM(D13:D15)</f>
        <v/>
      </c>
      <c r="E16" s="545">
        <f>SUM(E13:E15)</f>
        <v/>
      </c>
      <c r="F16" s="543">
        <f>SUM(F13:F15)</f>
        <v/>
      </c>
      <c r="G16" s="545">
        <f>SUM(G13:G15)</f>
        <v/>
      </c>
      <c r="H16" s="545">
        <f>SUM(H13:H15)</f>
        <v/>
      </c>
      <c r="I16" s="545">
        <f>SUM(I13:I15)</f>
        <v/>
      </c>
      <c r="J16" s="543">
        <f>SUM(J13:J15)</f>
        <v/>
      </c>
      <c r="K16" s="545">
        <f>SUM(K13:K15)</f>
        <v/>
      </c>
      <c r="L16" s="545">
        <f>SUM(L13:L15)</f>
        <v/>
      </c>
      <c r="M16" s="545">
        <f>SUM(M13:M15)</f>
        <v/>
      </c>
      <c r="N16" s="543">
        <f>SUM(N13:N15)</f>
        <v/>
      </c>
      <c r="O16" s="545">
        <f>SUM(O13:O15)</f>
        <v/>
      </c>
      <c r="P16" s="545">
        <f>SUM(P13:P15)</f>
        <v/>
      </c>
      <c r="Q16" s="545">
        <f>SUM(Q13:Q15)</f>
        <v/>
      </c>
      <c r="R16" s="543">
        <f>SUM(R13:R15)</f>
        <v/>
      </c>
      <c r="S16" s="725">
        <f>C16+G16+K16+O16</f>
        <v/>
      </c>
      <c r="T16" s="735" t="n"/>
      <c r="U16" s="736" t="n"/>
    </row>
    <row r="17" ht="14.5" customHeight="1" s="408">
      <c r="A17" s="732" t="inlineStr">
        <is>
          <t>四、支付的其他與投資活動有關的現金</t>
        </is>
      </c>
      <c r="B17" s="733" t="n"/>
      <c r="C17" s="741" t="n"/>
      <c r="D17" s="710" t="n"/>
      <c r="E17" s="710" t="n"/>
      <c r="F17" s="712" t="n"/>
      <c r="G17" s="742" t="n"/>
      <c r="H17" s="710" t="n"/>
      <c r="I17" s="710" t="n"/>
      <c r="J17" s="711" t="n"/>
      <c r="K17" s="741" t="n"/>
      <c r="L17" s="710" t="n"/>
      <c r="M17" s="710" t="n"/>
      <c r="N17" s="712" t="n"/>
      <c r="O17" s="742" t="n"/>
      <c r="P17" s="710" t="n"/>
      <c r="Q17" s="710" t="n"/>
      <c r="R17" s="711" t="n"/>
      <c r="S17" s="656">
        <f>C17+G17+K17+O17</f>
        <v/>
      </c>
      <c r="T17" s="709" t="n"/>
      <c r="U17" s="631" t="n"/>
    </row>
    <row r="18" ht="14.5" customHeight="1" s="408">
      <c r="A18" s="660" t="n">
        <v>1</v>
      </c>
      <c r="B18" s="737" t="n"/>
      <c r="C18" s="743" t="n"/>
      <c r="D18" s="681" t="n"/>
      <c r="E18" s="681" t="n"/>
      <c r="F18" s="716" t="n"/>
      <c r="G18" s="744" t="n"/>
      <c r="H18" s="681" t="n"/>
      <c r="I18" s="681" t="n"/>
      <c r="J18" s="682" t="n"/>
      <c r="K18" s="743" t="n"/>
      <c r="L18" s="681" t="n"/>
      <c r="M18" s="681" t="n"/>
      <c r="N18" s="716" t="n"/>
      <c r="O18" s="744" t="n"/>
      <c r="P18" s="681" t="n"/>
      <c r="Q18" s="681" t="n"/>
      <c r="R18" s="682" t="n"/>
      <c r="S18" s="656">
        <f>C18+G18+K18+O18</f>
        <v/>
      </c>
      <c r="T18" s="715" t="n"/>
      <c r="U18" s="639" t="n"/>
    </row>
    <row r="19" ht="14.5" customHeight="1" s="408">
      <c r="A19" s="660" t="n">
        <v>2</v>
      </c>
      <c r="B19" s="598" t="n"/>
      <c r="C19" s="743" t="n"/>
      <c r="D19" s="597" t="n"/>
      <c r="E19" s="597" t="n"/>
      <c r="F19" s="745" t="n"/>
      <c r="G19" s="744" t="n"/>
      <c r="H19" s="597" t="n"/>
      <c r="I19" s="597" t="n"/>
      <c r="J19" s="598" t="n"/>
      <c r="K19" s="743" t="n"/>
      <c r="L19" s="597" t="n"/>
      <c r="M19" s="597" t="n"/>
      <c r="N19" s="745" t="n"/>
      <c r="O19" s="744" t="n"/>
      <c r="P19" s="597" t="n"/>
      <c r="Q19" s="597" t="n"/>
      <c r="R19" s="598" t="n"/>
      <c r="S19" s="656">
        <f>C19+G19+K19+O19</f>
        <v/>
      </c>
      <c r="T19" s="715" t="n"/>
      <c r="U19" s="639" t="n"/>
    </row>
    <row r="20" ht="14.5" customHeight="1" s="408">
      <c r="A20" s="734" t="inlineStr">
        <is>
          <t>小  計</t>
        </is>
      </c>
      <c r="B20" s="543">
        <f>SUM(B17:B19)</f>
        <v/>
      </c>
      <c r="C20" s="545">
        <f>SUM(C17:C19)</f>
        <v/>
      </c>
      <c r="D20" s="545">
        <f>SUM(D17:D19)</f>
        <v/>
      </c>
      <c r="E20" s="545">
        <f>SUM(E17:E19)</f>
        <v/>
      </c>
      <c r="F20" s="543">
        <f>SUM(F17:F19)</f>
        <v/>
      </c>
      <c r="G20" s="545">
        <f>SUM(G17:G19)</f>
        <v/>
      </c>
      <c r="H20" s="545">
        <f>SUM(H17:H19)</f>
        <v/>
      </c>
      <c r="I20" s="545">
        <f>SUM(I17:I19)</f>
        <v/>
      </c>
      <c r="J20" s="543">
        <f>SUM(J17:J19)</f>
        <v/>
      </c>
      <c r="K20" s="545">
        <f>SUM(K17:K19)</f>
        <v/>
      </c>
      <c r="L20" s="545">
        <f>SUM(L17:L19)</f>
        <v/>
      </c>
      <c r="M20" s="545">
        <f>SUM(M17:M19)</f>
        <v/>
      </c>
      <c r="N20" s="543">
        <f>SUM(N17:N19)</f>
        <v/>
      </c>
      <c r="O20" s="545">
        <f>SUM(O17:O19)</f>
        <v/>
      </c>
      <c r="P20" s="545">
        <f>SUM(P17:P19)</f>
        <v/>
      </c>
      <c r="Q20" s="545">
        <f>SUM(Q17:Q19)</f>
        <v/>
      </c>
      <c r="R20" s="543">
        <f>SUM(R17:R19)</f>
        <v/>
      </c>
      <c r="S20" s="725">
        <f>C20+G20+K20+O20</f>
        <v/>
      </c>
      <c r="T20" s="735" t="n"/>
      <c r="U20" s="736" t="n"/>
    </row>
    <row r="21" ht="15" customHeight="1" s="408" thickBot="1">
      <c r="A21" s="489" t="inlineStr">
        <is>
          <t>合   計</t>
        </is>
      </c>
      <c r="B21" s="694">
        <f>B8+B12+B16+B20</f>
        <v/>
      </c>
      <c r="C21" s="693">
        <f>C8+C12+C16+C20</f>
        <v/>
      </c>
      <c r="D21" s="693">
        <f>D8+D12+D16+D20</f>
        <v/>
      </c>
      <c r="E21" s="693">
        <f>E8+E12+E16+E20</f>
        <v/>
      </c>
      <c r="F21" s="694">
        <f>F8+F12+F16+F20</f>
        <v/>
      </c>
      <c r="G21" s="693">
        <f>G8+G12+G16+G20</f>
        <v/>
      </c>
      <c r="H21" s="693">
        <f>H8+H12+H16+H20</f>
        <v/>
      </c>
      <c r="I21" s="693">
        <f>I8+I12+I16+I20</f>
        <v/>
      </c>
      <c r="J21" s="694">
        <f>J8+J12+J16+J20</f>
        <v/>
      </c>
      <c r="K21" s="693">
        <f>K8+K12+K16+K20</f>
        <v/>
      </c>
      <c r="L21" s="693">
        <f>L8+L12+L16+L20</f>
        <v/>
      </c>
      <c r="M21" s="693">
        <f>M8+M12+M16+M20</f>
        <v/>
      </c>
      <c r="N21" s="694">
        <f>N8+N12+N16+N20</f>
        <v/>
      </c>
      <c r="O21" s="693">
        <f>O8+O12+O16+O20</f>
        <v/>
      </c>
      <c r="P21" s="693">
        <f>P8+P12+P16+P20</f>
        <v/>
      </c>
      <c r="Q21" s="693">
        <f>Q8+Q12+Q16+Q20</f>
        <v/>
      </c>
      <c r="R21" s="694">
        <f>R8+R12+R16+R20</f>
        <v/>
      </c>
      <c r="S21" s="694">
        <f>S8+S12+S16+S20</f>
        <v/>
      </c>
      <c r="T21" s="746" t="n"/>
      <c r="U21" s="747" t="n"/>
    </row>
    <row r="22" ht="14.5" customHeight="1" s="408">
      <c r="A22" s="699" t="inlineStr">
        <is>
          <t>編制說明：</t>
        </is>
      </c>
      <c r="B22" s="748" t="n"/>
      <c r="C22" s="748" t="n"/>
      <c r="D22" s="748" t="n"/>
      <c r="E22" s="748" t="n"/>
      <c r="F22" s="748" t="n"/>
      <c r="G22" s="748" t="n"/>
      <c r="H22" s="748" t="n"/>
      <c r="I22" s="748" t="n"/>
      <c r="J22" s="748" t="n"/>
      <c r="K22" s="748" t="n"/>
      <c r="L22" s="748" t="n"/>
      <c r="M22" s="748" t="n"/>
      <c r="N22" s="748" t="n"/>
      <c r="O22" s="748" t="n"/>
      <c r="P22" s="748" t="n"/>
      <c r="Q22" s="748" t="n"/>
      <c r="R22" s="748" t="n"/>
      <c r="S22" s="748" t="n"/>
      <c r="T22" s="749" t="n"/>
    </row>
    <row r="23" ht="14.5" customHeight="1" s="408">
      <c r="A23" s="567" t="inlineStr">
        <is>
          <t>1、本年期初數：指投資專案預算年度期初餘額</t>
        </is>
      </c>
      <c r="B23" s="748" t="n"/>
      <c r="C23" s="748" t="n"/>
      <c r="D23" s="748" t="n"/>
      <c r="E23" s="748" t="n"/>
      <c r="F23" s="748" t="n"/>
      <c r="G23" s="748" t="n"/>
      <c r="H23" s="748" t="n"/>
      <c r="I23" s="748" t="n"/>
      <c r="J23" s="748" t="n"/>
      <c r="K23" s="748" t="n"/>
      <c r="L23" s="748" t="n"/>
      <c r="M23" s="748" t="n"/>
      <c r="N23" s="748" t="n"/>
      <c r="O23" s="748" t="n"/>
      <c r="P23" s="748" t="n"/>
      <c r="Q23" s="748" t="n"/>
      <c r="R23" s="748" t="n"/>
      <c r="S23" s="748" t="n"/>
      <c r="T23" s="748" t="n"/>
      <c r="U23" s="748" t="n"/>
    </row>
    <row r="24" ht="14.5" customHeight="1" s="408">
      <c r="A24" s="567" t="inlineStr">
        <is>
          <t>2、本期預計追加投資現金流出額：指按照投資專案預計追加的本金現金流出數</t>
        </is>
      </c>
      <c r="B24" s="748" t="n"/>
      <c r="C24" s="748" t="n"/>
      <c r="D24" s="748" t="n"/>
      <c r="E24" s="748" t="n"/>
      <c r="F24" s="748" t="n"/>
      <c r="G24" s="748" t="n"/>
      <c r="H24" s="748" t="n"/>
      <c r="I24" s="748" t="n"/>
      <c r="J24" s="748" t="n"/>
      <c r="K24" s="748" t="n"/>
      <c r="L24" s="748" t="n"/>
      <c r="M24" s="748" t="n"/>
      <c r="N24" s="748" t="n"/>
      <c r="O24" s="748" t="n"/>
      <c r="P24" s="748" t="n"/>
      <c r="Q24" s="748" t="n"/>
      <c r="R24" s="748" t="n"/>
      <c r="S24" s="748" t="n"/>
      <c r="T24" s="748" t="n"/>
      <c r="U24" s="748" t="n"/>
    </row>
    <row r="25" ht="14.5" customHeight="1" s="408">
      <c r="A25" s="567" t="inlineStr">
        <is>
          <t>3、長期股權投資：指作為參股或控股股東直接投資到企業的現金支出</t>
        </is>
      </c>
      <c r="B25" s="748" t="n"/>
      <c r="C25" s="748" t="n"/>
      <c r="D25" s="748" t="n"/>
      <c r="E25" s="748" t="n"/>
      <c r="F25" s="748" t="n"/>
      <c r="G25" s="748" t="n"/>
      <c r="H25" s="748" t="n"/>
      <c r="I25" s="748" t="n"/>
      <c r="J25" s="748" t="n"/>
      <c r="K25" s="748" t="n"/>
      <c r="L25" s="748" t="n"/>
      <c r="M25" s="748" t="n"/>
      <c r="N25" s="748" t="n"/>
      <c r="O25" s="748" t="n"/>
      <c r="P25" s="748" t="n"/>
      <c r="Q25" s="748" t="n"/>
      <c r="R25" s="748" t="n"/>
      <c r="S25" s="748" t="n"/>
      <c r="T25" s="748" t="n"/>
      <c r="U25" s="748" t="n"/>
    </row>
    <row r="26" ht="14.5" customHeight="1" s="408">
      <c r="A26" s="567" t="inlineStr">
        <is>
          <t>4、股票投資：指將閒置資金投資於股票二級市場現金支出</t>
        </is>
      </c>
      <c r="B26" s="748" t="n"/>
      <c r="C26" s="748" t="n"/>
      <c r="D26" s="748" t="n"/>
      <c r="E26" s="748" t="n"/>
      <c r="F26" s="748" t="n"/>
      <c r="G26" s="748" t="n"/>
      <c r="H26" s="748" t="n"/>
      <c r="I26" s="748" t="n"/>
      <c r="J26" s="748" t="n"/>
      <c r="K26" s="748" t="n"/>
      <c r="L26" s="748" t="n"/>
      <c r="M26" s="748" t="n"/>
      <c r="N26" s="748" t="n"/>
      <c r="O26" s="748" t="n"/>
      <c r="P26" s="748" t="n"/>
      <c r="Q26" s="748" t="n"/>
      <c r="R26" s="748" t="n"/>
      <c r="S26" s="748" t="n"/>
      <c r="T26" s="748" t="n"/>
      <c r="U26" s="748" t="n"/>
    </row>
    <row r="27" ht="14.5" customHeight="1" s="408">
      <c r="A27" s="567" t="inlineStr">
        <is>
          <t>5、債權投資：指將閒置資金投資於債券市場的短期行為現金支出</t>
        </is>
      </c>
      <c r="B27" s="748" t="n"/>
      <c r="C27" s="748" t="n"/>
      <c r="D27" s="748" t="n"/>
      <c r="E27" s="748" t="n"/>
      <c r="F27" s="748" t="n"/>
      <c r="G27" s="748" t="n"/>
      <c r="H27" s="748" t="n"/>
      <c r="I27" s="748" t="n"/>
      <c r="J27" s="748" t="n"/>
      <c r="K27" s="748" t="n"/>
      <c r="L27" s="748" t="n"/>
      <c r="M27" s="748" t="n"/>
      <c r="N27" s="748" t="n"/>
      <c r="O27" s="748" t="n"/>
      <c r="P27" s="748" t="n"/>
      <c r="Q27" s="748" t="n"/>
      <c r="R27" s="748" t="n"/>
      <c r="S27" s="748" t="n"/>
      <c r="T27" s="748" t="n"/>
      <c r="U27" s="748" t="n"/>
    </row>
  </sheetData>
  <mergeCells count="8">
    <mergeCell ref="A3:A4"/>
    <mergeCell ref="B3:B4"/>
    <mergeCell ref="C3:R3"/>
    <mergeCell ref="T3:T4"/>
    <mergeCell ref="S3:S4"/>
    <mergeCell ref="U3:U4"/>
    <mergeCell ref="T22:U22"/>
    <mergeCell ref="A1:U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V13"/>
  <sheetViews>
    <sheetView tabSelected="1" workbookViewId="0">
      <selection activeCell="F19" sqref="F19"/>
    </sheetView>
  </sheetViews>
  <sheetFormatPr baseColWidth="8" defaultRowHeight="14"/>
  <cols>
    <col width="25.90625" customWidth="1" style="408" min="1" max="1"/>
  </cols>
  <sheetData>
    <row r="1" ht="24" customHeight="1" s="408">
      <c r="A1" s="409" t="inlineStr">
        <is>
          <t>財務費用</t>
        </is>
      </c>
    </row>
    <row r="2" ht="15" customHeight="1" s="408" thickBot="1">
      <c r="A2" s="301" t="inlineStr">
        <is>
          <t>編制單位：</t>
        </is>
      </c>
      <c r="B2" s="266" t="n"/>
      <c r="C2" s="266" t="n"/>
      <c r="D2" s="266" t="n"/>
      <c r="E2" s="266" t="n"/>
      <c r="F2" s="266" t="n"/>
      <c r="G2" s="266" t="n"/>
      <c r="H2" s="266" t="n"/>
      <c r="I2" s="266" t="n"/>
      <c r="J2" s="266" t="inlineStr">
        <is>
          <t>預算年度：</t>
        </is>
      </c>
      <c r="K2" s="266" t="n"/>
      <c r="L2" s="266" t="n"/>
      <c r="M2" s="266" t="n"/>
      <c r="N2" s="266" t="n"/>
      <c r="O2" s="266" t="n"/>
      <c r="P2" s="266" t="n"/>
      <c r="Q2" s="266" t="n"/>
      <c r="R2" s="266" t="n"/>
      <c r="S2" s="266" t="inlineStr">
        <is>
          <t>製表人：</t>
        </is>
      </c>
      <c r="T2" s="266" t="n"/>
      <c r="U2" s="266" t="n"/>
      <c r="V2" s="266" t="n"/>
    </row>
    <row r="3" ht="14.5" customHeight="1" s="408">
      <c r="A3" s="445" t="inlineStr">
        <is>
          <t>專案</t>
        </is>
      </c>
      <c r="B3" s="446" t="inlineStr">
        <is>
          <t>全年預計現金流出量</t>
        </is>
      </c>
      <c r="C3" s="447" t="n"/>
      <c r="D3" s="447" t="n"/>
      <c r="E3" s="447" t="n"/>
      <c r="F3" s="447" t="n"/>
      <c r="G3" s="447" t="n"/>
      <c r="H3" s="447" t="n"/>
      <c r="I3" s="447" t="n"/>
      <c r="J3" s="447" t="n"/>
      <c r="K3" s="447" t="n"/>
      <c r="L3" s="447" t="n"/>
      <c r="M3" s="447" t="n"/>
      <c r="N3" s="447" t="n"/>
      <c r="O3" s="447" t="n"/>
      <c r="P3" s="447" t="n"/>
      <c r="Q3" s="447" t="n"/>
      <c r="R3" s="569" t="inlineStr">
        <is>
          <t>本年合計</t>
        </is>
      </c>
      <c r="S3" s="450" t="inlineStr">
        <is>
          <t>上年實際</t>
        </is>
      </c>
      <c r="T3" s="450" t="inlineStr">
        <is>
          <t>增減數</t>
        </is>
      </c>
      <c r="U3" s="450" t="inlineStr">
        <is>
          <t>增減（%）</t>
        </is>
      </c>
      <c r="V3" s="570" t="inlineStr">
        <is>
          <t>預算責任人</t>
        </is>
      </c>
    </row>
    <row r="4" ht="15" customHeight="1" s="408" thickBot="1">
      <c r="A4" s="453" t="n"/>
      <c r="B4" s="571" t="inlineStr">
        <is>
          <t>1季度</t>
        </is>
      </c>
      <c r="C4" s="572" t="inlineStr">
        <is>
          <t>1月</t>
        </is>
      </c>
      <c r="D4" s="572" t="inlineStr">
        <is>
          <t>2月</t>
        </is>
      </c>
      <c r="E4" s="573" t="inlineStr">
        <is>
          <t>3月</t>
        </is>
      </c>
      <c r="F4" s="571" t="inlineStr">
        <is>
          <t>2季度</t>
        </is>
      </c>
      <c r="G4" s="572" t="inlineStr">
        <is>
          <t>4月</t>
        </is>
      </c>
      <c r="H4" s="572" t="inlineStr">
        <is>
          <t>5月</t>
        </is>
      </c>
      <c r="I4" s="574" t="inlineStr">
        <is>
          <t>6月</t>
        </is>
      </c>
      <c r="J4" s="575" t="inlineStr">
        <is>
          <t>3季度</t>
        </is>
      </c>
      <c r="K4" s="572" t="inlineStr">
        <is>
          <t>7月</t>
        </is>
      </c>
      <c r="L4" s="572" t="inlineStr">
        <is>
          <t>8月</t>
        </is>
      </c>
      <c r="M4" s="573" t="inlineStr">
        <is>
          <t>9月</t>
        </is>
      </c>
      <c r="N4" s="571" t="inlineStr">
        <is>
          <t>4季度</t>
        </is>
      </c>
      <c r="O4" s="572" t="inlineStr">
        <is>
          <t>10月</t>
        </is>
      </c>
      <c r="P4" s="572" t="inlineStr">
        <is>
          <t>11月</t>
        </is>
      </c>
      <c r="Q4" s="574" t="inlineStr">
        <is>
          <t>12月</t>
        </is>
      </c>
      <c r="R4" s="576" t="n"/>
      <c r="S4" s="464" t="n"/>
      <c r="T4" s="464" t="n"/>
      <c r="U4" s="464" t="n"/>
      <c r="V4" s="465" t="n"/>
    </row>
    <row r="5" ht="15" customHeight="1" s="408" thickTop="1">
      <c r="A5" s="750" t="inlineStr">
        <is>
          <t>利息支出</t>
        </is>
      </c>
      <c r="B5" s="508">
        <f>SUM(C5:E5)</f>
        <v/>
      </c>
      <c r="C5" s="506" t="n"/>
      <c r="D5" s="506" t="n"/>
      <c r="E5" s="507" t="n"/>
      <c r="F5" s="508">
        <f>SUM(G5:I5)</f>
        <v/>
      </c>
      <c r="G5" s="506" t="n"/>
      <c r="H5" s="506" t="n"/>
      <c r="I5" s="504" t="n"/>
      <c r="J5" s="505">
        <f>SUM(K5:M5)</f>
        <v/>
      </c>
      <c r="K5" s="506" t="n"/>
      <c r="L5" s="506" t="n"/>
      <c r="M5" s="507" t="n"/>
      <c r="N5" s="508">
        <f>SUM(O5:Q5)</f>
        <v/>
      </c>
      <c r="O5" s="506" t="n"/>
      <c r="P5" s="506" t="n"/>
      <c r="Q5" s="504" t="n"/>
      <c r="R5" s="505">
        <f>B5+F5+J5+N5</f>
        <v/>
      </c>
      <c r="S5" s="506" t="n"/>
      <c r="T5" s="506">
        <f>R5-S5</f>
        <v/>
      </c>
      <c r="U5" s="217">
        <f>T5/R5</f>
        <v/>
      </c>
      <c r="V5" s="580" t="n"/>
    </row>
    <row r="6" ht="14.5" customHeight="1" s="408">
      <c r="A6" s="751" t="inlineStr">
        <is>
          <t>其中：期間損益</t>
        </is>
      </c>
      <c r="B6" s="508">
        <f>SUM(C6:E6)</f>
        <v/>
      </c>
      <c r="C6" s="581" t="n"/>
      <c r="D6" s="581" t="n"/>
      <c r="E6" s="582" t="n"/>
      <c r="F6" s="508">
        <f>SUM(G6:I6)</f>
        <v/>
      </c>
      <c r="G6" s="581" t="n"/>
      <c r="H6" s="581" t="n"/>
      <c r="I6" s="541" t="n"/>
      <c r="J6" s="505">
        <f>SUM(K6:M6)</f>
        <v/>
      </c>
      <c r="K6" s="581" t="n"/>
      <c r="L6" s="581" t="n"/>
      <c r="M6" s="582" t="n"/>
      <c r="N6" s="508">
        <f>SUM(O6:Q6)</f>
        <v/>
      </c>
      <c r="O6" s="581" t="n"/>
      <c r="P6" s="581" t="n"/>
      <c r="Q6" s="541" t="n"/>
      <c r="R6" s="505">
        <f>B6+F6+J6+N6</f>
        <v/>
      </c>
      <c r="S6" s="581" t="n"/>
      <c r="T6" s="506">
        <f>R6-S6</f>
        <v/>
      </c>
      <c r="U6" s="217">
        <f>T6/R6</f>
        <v/>
      </c>
      <c r="V6" s="752" t="n"/>
    </row>
    <row r="7" ht="14.5" customHeight="1" s="408">
      <c r="A7" s="751" t="inlineStr">
        <is>
          <t xml:space="preserve">      往來</t>
        </is>
      </c>
      <c r="B7" s="508">
        <f>SUM(C7:E7)</f>
        <v/>
      </c>
      <c r="C7" s="581" t="n"/>
      <c r="D7" s="581" t="n"/>
      <c r="E7" s="582" t="n"/>
      <c r="F7" s="508">
        <f>SUM(G7:I7)</f>
        <v/>
      </c>
      <c r="G7" s="581" t="n"/>
      <c r="H7" s="581" t="n"/>
      <c r="I7" s="541" t="n"/>
      <c r="J7" s="505">
        <f>SUM(K7:M7)</f>
        <v/>
      </c>
      <c r="K7" s="581" t="n"/>
      <c r="L7" s="581" t="n"/>
      <c r="M7" s="582" t="n"/>
      <c r="N7" s="508">
        <f>SUM(O7:Q7)</f>
        <v/>
      </c>
      <c r="O7" s="581" t="n"/>
      <c r="P7" s="581" t="n"/>
      <c r="Q7" s="541" t="n"/>
      <c r="R7" s="505">
        <f>B7+F7+J7+N7</f>
        <v/>
      </c>
      <c r="S7" s="581" t="n"/>
      <c r="T7" s="506">
        <f>R7-S7</f>
        <v/>
      </c>
      <c r="U7" s="217">
        <f>T7/R7</f>
        <v/>
      </c>
      <c r="V7" s="752" t="n"/>
    </row>
    <row r="8" ht="14.5" customHeight="1" s="408">
      <c r="A8" s="751" t="inlineStr">
        <is>
          <t xml:space="preserve">      資本化利息</t>
        </is>
      </c>
      <c r="B8" s="508">
        <f>SUM(C8:E8)</f>
        <v/>
      </c>
      <c r="C8" s="581" t="n"/>
      <c r="D8" s="581" t="n"/>
      <c r="E8" s="582" t="n"/>
      <c r="F8" s="508">
        <f>SUM(G8:I8)</f>
        <v/>
      </c>
      <c r="G8" s="581" t="n"/>
      <c r="H8" s="581" t="n"/>
      <c r="I8" s="541" t="n"/>
      <c r="J8" s="505">
        <f>SUM(K8:M8)</f>
        <v/>
      </c>
      <c r="K8" s="581" t="n"/>
      <c r="L8" s="581" t="n"/>
      <c r="M8" s="582" t="n"/>
      <c r="N8" s="508">
        <f>SUM(O8:Q8)</f>
        <v/>
      </c>
      <c r="O8" s="581" t="n"/>
      <c r="P8" s="581" t="n"/>
      <c r="Q8" s="541" t="n"/>
      <c r="R8" s="505">
        <f>B8+F8+J8+N8</f>
        <v/>
      </c>
      <c r="S8" s="581" t="n"/>
      <c r="T8" s="506">
        <f>R8-S8</f>
        <v/>
      </c>
      <c r="U8" s="217">
        <f>T8/R8</f>
        <v/>
      </c>
      <c r="V8" s="752" t="n"/>
    </row>
    <row r="9" ht="14.5" customHeight="1" s="408">
      <c r="A9" s="751" t="inlineStr">
        <is>
          <t>存款利息收入</t>
        </is>
      </c>
      <c r="B9" s="508">
        <f>SUM(C9:E9)</f>
        <v/>
      </c>
      <c r="C9" s="581" t="n"/>
      <c r="D9" s="581" t="n"/>
      <c r="E9" s="582" t="n"/>
      <c r="F9" s="508">
        <f>SUM(G9:I9)</f>
        <v/>
      </c>
      <c r="G9" s="581" t="n"/>
      <c r="H9" s="581" t="n"/>
      <c r="I9" s="541" t="n"/>
      <c r="J9" s="505">
        <f>SUM(K9:M9)</f>
        <v/>
      </c>
      <c r="K9" s="581" t="n"/>
      <c r="L9" s="581" t="n"/>
      <c r="M9" s="582" t="n"/>
      <c r="N9" s="508">
        <f>SUM(O9:Q9)</f>
        <v/>
      </c>
      <c r="O9" s="581" t="n"/>
      <c r="P9" s="581" t="n"/>
      <c r="Q9" s="541" t="n"/>
      <c r="R9" s="505">
        <f>B9+F9+J9+N9</f>
        <v/>
      </c>
      <c r="S9" s="581" t="n"/>
      <c r="T9" s="506">
        <f>R9-S9</f>
        <v/>
      </c>
      <c r="U9" s="217">
        <f>T9/R9</f>
        <v/>
      </c>
      <c r="V9" s="752" t="n"/>
    </row>
    <row r="10" ht="14.5" customHeight="1" s="408">
      <c r="A10" s="751" t="inlineStr">
        <is>
          <t>匯兌損失（收益）</t>
        </is>
      </c>
      <c r="B10" s="508">
        <f>SUM(C10:E10)</f>
        <v/>
      </c>
      <c r="C10" s="581" t="n"/>
      <c r="D10" s="581" t="n"/>
      <c r="E10" s="582" t="n"/>
      <c r="F10" s="508">
        <f>SUM(G10:I10)</f>
        <v/>
      </c>
      <c r="G10" s="581" t="n"/>
      <c r="H10" s="581" t="n"/>
      <c r="I10" s="541" t="n"/>
      <c r="J10" s="505">
        <f>SUM(K10:M10)</f>
        <v/>
      </c>
      <c r="K10" s="581" t="n"/>
      <c r="L10" s="581" t="n"/>
      <c r="M10" s="582" t="n"/>
      <c r="N10" s="508">
        <f>SUM(O10:Q10)</f>
        <v/>
      </c>
      <c r="O10" s="581" t="n"/>
      <c r="P10" s="581" t="n"/>
      <c r="Q10" s="541" t="n"/>
      <c r="R10" s="505">
        <f>B10+F10+J10+N10</f>
        <v/>
      </c>
      <c r="S10" s="581" t="n"/>
      <c r="T10" s="506">
        <f>R10-S10</f>
        <v/>
      </c>
      <c r="U10" s="217">
        <f>T10/R10</f>
        <v/>
      </c>
      <c r="V10" s="752" t="n"/>
    </row>
    <row r="11" ht="14.5" customHeight="1" s="408">
      <c r="A11" s="751" t="inlineStr">
        <is>
          <t>金融機構手續費</t>
        </is>
      </c>
      <c r="B11" s="508">
        <f>SUM(C11:E11)</f>
        <v/>
      </c>
      <c r="C11" s="581" t="n"/>
      <c r="D11" s="581" t="n"/>
      <c r="E11" s="582" t="n"/>
      <c r="F11" s="508">
        <f>SUM(G11:I11)</f>
        <v/>
      </c>
      <c r="G11" s="581" t="n"/>
      <c r="H11" s="581" t="n"/>
      <c r="I11" s="541" t="n"/>
      <c r="J11" s="505">
        <f>SUM(K11:M11)</f>
        <v/>
      </c>
      <c r="K11" s="581" t="n"/>
      <c r="L11" s="581" t="n"/>
      <c r="M11" s="582" t="n"/>
      <c r="N11" s="508">
        <f>SUM(O11:Q11)</f>
        <v/>
      </c>
      <c r="O11" s="581" t="n"/>
      <c r="P11" s="581" t="n"/>
      <c r="Q11" s="541" t="n"/>
      <c r="R11" s="505">
        <f>B11+F11+J11+N11</f>
        <v/>
      </c>
      <c r="S11" s="581" t="n"/>
      <c r="T11" s="506">
        <f>R11-S11</f>
        <v/>
      </c>
      <c r="U11" s="217">
        <f>T11/R11</f>
        <v/>
      </c>
      <c r="V11" s="752" t="n"/>
    </row>
    <row r="12" ht="14.5" customHeight="1" s="408">
      <c r="A12" s="751" t="inlineStr">
        <is>
          <t>其他</t>
        </is>
      </c>
      <c r="B12" s="508">
        <f>SUM(C12:E12)</f>
        <v/>
      </c>
      <c r="C12" s="581" t="n"/>
      <c r="D12" s="581" t="n"/>
      <c r="E12" s="582" t="n"/>
      <c r="F12" s="508">
        <f>SUM(G12:I12)</f>
        <v/>
      </c>
      <c r="G12" s="581" t="n"/>
      <c r="H12" s="581" t="n"/>
      <c r="I12" s="541" t="n"/>
      <c r="J12" s="505">
        <f>SUM(K12:M12)</f>
        <v/>
      </c>
      <c r="K12" s="581" t="n"/>
      <c r="L12" s="581" t="n"/>
      <c r="M12" s="582" t="n"/>
      <c r="N12" s="508">
        <f>SUM(O12:Q12)</f>
        <v/>
      </c>
      <c r="O12" s="581" t="n"/>
      <c r="P12" s="581" t="n"/>
      <c r="Q12" s="541" t="n"/>
      <c r="R12" s="505">
        <f>B12+F12+J12+N12</f>
        <v/>
      </c>
      <c r="S12" s="581" t="n"/>
      <c r="T12" s="506">
        <f>R12-S12</f>
        <v/>
      </c>
      <c r="U12" s="217">
        <f>T12/R12</f>
        <v/>
      </c>
      <c r="V12" s="752" t="n"/>
    </row>
    <row r="13" ht="15" customHeight="1" s="408" thickBot="1">
      <c r="A13" s="753" t="inlineStr">
        <is>
          <t>合   計</t>
        </is>
      </c>
      <c r="B13" s="754">
        <f>C13+D13+E13</f>
        <v/>
      </c>
      <c r="C13" s="754">
        <f>SUM(C5:C12)</f>
        <v/>
      </c>
      <c r="D13" s="754">
        <f>SUM(D5:D12)</f>
        <v/>
      </c>
      <c r="E13" s="754">
        <f>SUM(E5:E12)</f>
        <v/>
      </c>
      <c r="F13" s="755">
        <f>G13+H13+I13</f>
        <v/>
      </c>
      <c r="G13" s="754">
        <f>SUM(G5:G12)</f>
        <v/>
      </c>
      <c r="H13" s="754">
        <f>SUM(H5:H12)</f>
        <v/>
      </c>
      <c r="I13" s="754">
        <f>SUM(I5:I12)</f>
        <v/>
      </c>
      <c r="J13" s="755">
        <f>K13+L13+M13</f>
        <v/>
      </c>
      <c r="K13" s="754">
        <f>SUM(K5:K12)</f>
        <v/>
      </c>
      <c r="L13" s="754">
        <f>SUM(L5:L12)</f>
        <v/>
      </c>
      <c r="M13" s="754">
        <f>SUM(M5:M12)</f>
        <v/>
      </c>
      <c r="N13" s="754">
        <f>O13+P13+Q13</f>
        <v/>
      </c>
      <c r="O13" s="754">
        <f>SUM(O5:O12)</f>
        <v/>
      </c>
      <c r="P13" s="754">
        <f>SUM(P5:P12)</f>
        <v/>
      </c>
      <c r="Q13" s="754">
        <f>SUM(Q5:Q12)</f>
        <v/>
      </c>
      <c r="R13" s="755">
        <f>B13+F13+J13+N13</f>
        <v/>
      </c>
      <c r="S13" s="756" t="n"/>
      <c r="T13" s="757">
        <f>R13-S13</f>
        <v/>
      </c>
      <c r="U13" s="406">
        <f>T13/R13</f>
        <v/>
      </c>
      <c r="V13" s="650" t="n"/>
    </row>
  </sheetData>
  <mergeCells count="8">
    <mergeCell ref="A1:V1"/>
    <mergeCell ref="A3:A4"/>
    <mergeCell ref="V3:V4"/>
    <mergeCell ref="R3:R4"/>
    <mergeCell ref="T3:T4"/>
    <mergeCell ref="S3:S4"/>
    <mergeCell ref="U3:U4"/>
    <mergeCell ref="B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2019-02-18T08:12:10Z</dcterms:created>
  <dcterms:modified xsi:type="dcterms:W3CDTF">2025-07-21T10:01:05Z</dcterms:modified>
  <cp:lastModifiedBy/>
</cp:coreProperties>
</file>