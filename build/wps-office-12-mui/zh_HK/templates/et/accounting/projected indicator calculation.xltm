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0" yWindow="0" windowWidth="19200" windowHeight="7310" tabRatio="600" firstSheet="0" activeTab="1" autoFilterDateGrouping="1"/>
  </bookViews>
  <sheets>
    <sheet name="預算編制工作計畫" sheetId="1" state="visible" r:id="rId1"/>
    <sheet name="預計指標計算表" sheetId="2" state="visible" r:id="rId2"/>
  </sheets>
  <definedNames>
    <definedName name="pbPrinterFormat">"\\nhkgc040pps1\PHKG00311 on Ne03:"</definedName>
  </definedNames>
  <calcPr calcId="152511" fullCalcOnLoad="1"/>
</workbook>
</file>

<file path=xl/styles.xml><?xml version="1.0" encoding="utf-8"?>
<styleSheet xmlns="http://schemas.openxmlformats.org/spreadsheetml/2006/main">
  <numFmts count="3">
    <numFmt numFmtId="164" formatCode="#,##0.00_ "/>
    <numFmt numFmtId="165" formatCode="0.00_ "/>
    <numFmt numFmtId="166" formatCode="0.0000%"/>
  </numFmts>
  <fonts count="5">
    <font>
      <name val="宋体"/>
      <charset val="134"/>
      <family val="2"/>
      <color theme="1"/>
      <sz val="11"/>
      <scheme val="minor"/>
    </font>
    <font>
      <name val="微软雅黑"/>
      <charset val="134"/>
      <family val="2"/>
      <sz val="18"/>
    </font>
    <font>
      <name val="微软雅黑"/>
      <charset val="134"/>
      <family val="2"/>
      <sz val="10"/>
    </font>
    <font>
      <name val="微软雅黑"/>
      <charset val="134"/>
      <family val="2"/>
      <b val="1"/>
      <sz val="10"/>
    </font>
    <font>
      <name val="宋体"/>
      <charset val="134"/>
      <family val="2"/>
      <sz val="9"/>
      <scheme val="minor"/>
    </font>
  </fonts>
  <fills count="4">
    <fill>
      <patternFill/>
    </fill>
    <fill>
      <patternFill patternType="gray125"/>
    </fill>
    <fill>
      <patternFill patternType="solid">
        <fgColor rgb="FFF2F2F2"/>
        <bgColor indexed="64"/>
      </patternFill>
    </fill>
    <fill>
      <patternFill patternType="solid">
        <fgColor rgb="FFFFFFFF"/>
        <bgColor indexed="64"/>
      </patternFill>
    </fill>
  </fills>
  <borders count="66">
    <border>
      <left/>
      <right/>
      <top/>
      <bottom/>
      <diagonal/>
    </border>
    <border>
      <left style="medium">
        <color auto="1"/>
      </left>
      <right style="dotted">
        <color auto="1"/>
      </right>
      <top style="medium">
        <color auto="1"/>
      </top>
      <bottom style="thin">
        <color auto="1"/>
      </bottom>
      <diagonal/>
    </border>
    <border>
      <left style="dotted">
        <color auto="1"/>
      </left>
      <right style="dotted">
        <color auto="1"/>
      </right>
      <top style="medium">
        <color auto="1"/>
      </top>
      <bottom/>
      <diagonal/>
    </border>
    <border>
      <left style="dotted">
        <color auto="1"/>
      </left>
      <right style="dotted">
        <color auto="1"/>
      </right>
      <top style="medium">
        <color auto="1"/>
      </top>
      <bottom style="thin">
        <color auto="1"/>
      </bottom>
      <diagonal/>
    </border>
    <border>
      <left style="dotted">
        <color auto="1"/>
      </left>
      <right style="medium">
        <color auto="1"/>
      </right>
      <top style="medium">
        <color auto="1"/>
      </top>
      <bottom style="thin">
        <color auto="1"/>
      </bottom>
      <diagonal/>
    </border>
    <border>
      <left style="medium">
        <color auto="1"/>
      </left>
      <right style="dotted">
        <color auto="1"/>
      </right>
      <top style="thin">
        <color auto="1"/>
      </top>
      <bottom style="thin">
        <color auto="1"/>
      </bottom>
      <diagonal/>
    </border>
    <border>
      <left style="dotted">
        <color auto="1"/>
      </left>
      <right style="dotted">
        <color auto="1"/>
      </right>
      <top style="thin">
        <color auto="1"/>
      </top>
      <bottom style="thin">
        <color auto="1"/>
      </bottom>
      <diagonal/>
    </border>
    <border>
      <left style="dotted">
        <color auto="1"/>
      </left>
      <right style="medium">
        <color auto="1"/>
      </right>
      <top style="thin">
        <color auto="1"/>
      </top>
      <bottom style="thin">
        <color auto="1"/>
      </bottom>
      <diagonal/>
    </border>
    <border>
      <left style="medium">
        <color auto="1"/>
      </left>
      <right style="dotted">
        <color auto="1"/>
      </right>
      <top/>
      <bottom style="dotted">
        <color auto="1"/>
      </bottom>
      <diagonal/>
    </border>
    <border>
      <left style="dotted">
        <color auto="1"/>
      </left>
      <right style="dotted">
        <color auto="1"/>
      </right>
      <top/>
      <bottom style="thin">
        <color auto="1"/>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dotted">
        <color auto="1"/>
      </left>
      <right/>
      <top/>
      <bottom/>
      <diagonal/>
    </border>
    <border>
      <left style="dotted">
        <color auto="1"/>
      </left>
      <right style="medium">
        <color auto="1"/>
      </right>
      <top/>
      <bottom style="dotted">
        <color auto="1"/>
      </bottom>
      <diagonal/>
    </border>
    <border>
      <left style="medium">
        <color auto="1"/>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style="medium">
        <color auto="1"/>
      </right>
      <top style="dotted">
        <color auto="1"/>
      </top>
      <bottom style="dotted">
        <color auto="1"/>
      </bottom>
      <diagonal/>
    </border>
    <border>
      <left style="dotted">
        <color auto="1"/>
      </left>
      <right/>
      <top style="dotted">
        <color auto="1"/>
      </top>
      <bottom/>
      <diagonal/>
    </border>
    <border>
      <left style="dotted">
        <color auto="1"/>
      </left>
      <right style="dotted">
        <color auto="1"/>
      </right>
      <top style="dotted">
        <color auto="1"/>
      </top>
      <bottom/>
      <diagonal/>
    </border>
    <border>
      <left style="dotted">
        <color auto="1"/>
      </left>
      <right style="medium">
        <color auto="1"/>
      </right>
      <top style="dotted">
        <color auto="1"/>
      </top>
      <bottom/>
      <diagonal/>
    </border>
    <border>
      <left style="dotted">
        <color auto="1"/>
      </left>
      <right style="medium">
        <color auto="1"/>
      </right>
      <top/>
      <bottom/>
      <diagonal/>
    </border>
    <border>
      <left style="dotted">
        <color auto="1"/>
      </left>
      <right style="dotted">
        <color auto="1"/>
      </right>
      <top style="dotted">
        <color auto="1"/>
      </top>
      <bottom style="thin">
        <color auto="1"/>
      </bottom>
      <diagonal/>
    </border>
    <border>
      <left style="medium">
        <color auto="1"/>
      </left>
      <right style="dotted">
        <color auto="1"/>
      </right>
      <top style="dotted">
        <color auto="1"/>
      </top>
      <bottom style="thin">
        <color auto="1"/>
      </bottom>
      <diagonal/>
    </border>
    <border>
      <left style="dotted">
        <color auto="1"/>
      </left>
      <right style="medium">
        <color auto="1"/>
      </right>
      <top style="dotted">
        <color auto="1"/>
      </top>
      <bottom style="thin">
        <color auto="1"/>
      </bottom>
      <diagonal/>
    </border>
    <border>
      <left style="medium">
        <color auto="1"/>
      </left>
      <right style="dotted">
        <color auto="1"/>
      </right>
      <top style="dotted">
        <color auto="1"/>
      </top>
      <bottom/>
      <diagonal/>
    </border>
    <border>
      <left/>
      <right style="dotted">
        <color auto="1"/>
      </right>
      <top style="dotted">
        <color auto="1"/>
      </top>
      <bottom/>
      <diagonal/>
    </border>
    <border>
      <left style="medium">
        <color auto="1"/>
      </left>
      <right style="dotted">
        <color auto="1"/>
      </right>
      <top style="thin">
        <color auto="1"/>
      </top>
      <bottom style="dotted">
        <color auto="1"/>
      </bottom>
      <diagonal/>
    </border>
    <border>
      <left style="dotted">
        <color auto="1"/>
      </left>
      <right style="dotted">
        <color auto="1"/>
      </right>
      <top style="thin">
        <color auto="1"/>
      </top>
      <bottom/>
      <diagonal/>
    </border>
    <border>
      <left style="dotted">
        <color auto="1"/>
      </left>
      <right style="dotted">
        <color auto="1"/>
      </right>
      <top style="thin">
        <color auto="1"/>
      </top>
      <bottom style="dotted">
        <color auto="1"/>
      </bottom>
      <diagonal/>
    </border>
    <border>
      <left style="dotted">
        <color auto="1"/>
      </left>
      <right/>
      <top style="thin">
        <color auto="1"/>
      </top>
      <bottom style="dotted">
        <color auto="1"/>
      </bottom>
      <diagonal/>
    </border>
    <border>
      <left/>
      <right style="dotted">
        <color auto="1"/>
      </right>
      <top style="thin">
        <color auto="1"/>
      </top>
      <bottom style="dotted">
        <color auto="1"/>
      </bottom>
      <diagonal/>
    </border>
    <border>
      <left style="dotted">
        <color auto="1"/>
      </left>
      <right style="medium">
        <color auto="1"/>
      </right>
      <top style="thin">
        <color auto="1"/>
      </top>
      <bottom style="dotted">
        <color auto="1"/>
      </bottom>
      <diagonal/>
    </border>
    <border>
      <left style="dotted">
        <color auto="1"/>
      </left>
      <right/>
      <top style="dotted">
        <color auto="1"/>
      </top>
      <bottom style="thin">
        <color auto="1"/>
      </bottom>
      <diagonal/>
    </border>
    <border>
      <left/>
      <right style="dotted">
        <color auto="1"/>
      </right>
      <top style="dotted">
        <color auto="1"/>
      </top>
      <bottom style="thin">
        <color auto="1"/>
      </bottom>
      <diagonal/>
    </border>
    <border>
      <left style="dotted">
        <color auto="1"/>
      </left>
      <right/>
      <top/>
      <bottom style="dotted">
        <color auto="1"/>
      </bottom>
      <diagonal/>
    </border>
    <border>
      <left/>
      <right style="dotted">
        <color auto="1"/>
      </right>
      <top/>
      <bottom style="dotted">
        <color auto="1"/>
      </bottom>
      <diagonal/>
    </border>
    <border>
      <left/>
      <right style="dotted">
        <color auto="1"/>
      </right>
      <top/>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style="dotted">
        <color auto="1"/>
      </right>
      <top/>
      <bottom style="medium">
        <color auto="1"/>
      </bottom>
      <diagonal/>
    </border>
    <border>
      <left style="medium">
        <color auto="1"/>
      </left>
      <right style="dotted">
        <color auto="1"/>
      </right>
      <top style="dotted">
        <color auto="1"/>
      </top>
      <bottom style="medium">
        <color auto="1"/>
      </bottom>
      <diagonal/>
    </border>
    <border>
      <left style="dotted">
        <color auto="1"/>
      </left>
      <right style="dotted">
        <color auto="1"/>
      </right>
      <top style="dotted">
        <color auto="1"/>
      </top>
      <bottom style="medium">
        <color auto="1"/>
      </bottom>
      <diagonal/>
    </border>
    <border>
      <left style="dotted">
        <color auto="1"/>
      </left>
      <right/>
      <top style="dotted">
        <color auto="1"/>
      </top>
      <bottom style="medium">
        <color auto="1"/>
      </bottom>
      <diagonal/>
    </border>
    <border>
      <left/>
      <right style="dotted">
        <color auto="1"/>
      </right>
      <top style="dotted">
        <color auto="1"/>
      </top>
      <bottom style="medium">
        <color auto="1"/>
      </bottom>
      <diagonal/>
    </border>
    <border>
      <left style="dotted">
        <color auto="1"/>
      </left>
      <right style="medium">
        <color auto="1"/>
      </right>
      <top style="dotted">
        <color auto="1"/>
      </top>
      <bottom style="medium">
        <color auto="1"/>
      </bottom>
      <diagonal/>
    </border>
    <border>
      <left style="dotted">
        <color auto="1"/>
      </left>
      <right/>
      <top style="medium">
        <color auto="1"/>
      </top>
      <bottom style="thin">
        <color auto="1"/>
      </bottom>
      <diagonal/>
    </border>
    <border>
      <left style="thin">
        <color auto="1"/>
      </left>
      <right style="dotted">
        <color auto="1"/>
      </right>
      <top style="medium">
        <color auto="1"/>
      </top>
      <bottom style="thin">
        <color auto="1"/>
      </bottom>
      <diagonal/>
    </border>
    <border>
      <left style="medium">
        <color auto="1"/>
      </left>
      <right style="dotted">
        <color auto="1"/>
      </right>
      <top/>
      <bottom style="thin">
        <color auto="1"/>
      </bottom>
      <diagonal/>
    </border>
    <border>
      <left style="medium">
        <color auto="1"/>
      </left>
      <right style="dotted">
        <color auto="1"/>
      </right>
      <top/>
      <bottom/>
      <diagonal/>
    </border>
    <border>
      <left style="dotted">
        <color auto="1"/>
      </left>
      <right style="thin">
        <color auto="1"/>
      </right>
      <top/>
      <bottom style="dotted">
        <color auto="1"/>
      </bottom>
      <diagonal/>
    </border>
    <border>
      <left style="dotted">
        <color auto="1"/>
      </left>
      <right style="thin">
        <color auto="1"/>
      </right>
      <top style="dotted">
        <color auto="1"/>
      </top>
      <bottom style="dotted">
        <color auto="1"/>
      </bottom>
      <diagonal/>
    </border>
    <border>
      <left style="dotted">
        <color auto="1"/>
      </left>
      <right style="thin">
        <color auto="1"/>
      </right>
      <top style="dotted">
        <color auto="1"/>
      </top>
      <bottom style="thin">
        <color auto="1"/>
      </bottom>
      <diagonal/>
    </border>
    <border>
      <left style="dotted">
        <color auto="1"/>
      </left>
      <right style="medium">
        <color auto="1"/>
      </right>
      <top/>
      <bottom style="thin">
        <color auto="1"/>
      </bottom>
      <diagonal/>
    </border>
    <border>
      <left style="dotted">
        <color auto="1"/>
      </left>
      <right style="thin">
        <color auto="1"/>
      </right>
      <top style="dotted">
        <color auto="1"/>
      </top>
      <bottom/>
      <diagonal/>
    </border>
    <border>
      <left style="dotted">
        <color auto="1"/>
      </left>
      <right style="thin">
        <color auto="1"/>
      </right>
      <top style="thin">
        <color auto="1"/>
      </top>
      <bottom style="dotted">
        <color auto="1"/>
      </bottom>
      <diagonal/>
    </border>
    <border>
      <left style="dotted">
        <color auto="1"/>
      </left>
      <right style="thin">
        <color auto="1"/>
      </right>
      <top/>
      <bottom/>
      <diagonal/>
    </border>
    <border>
      <left style="medium">
        <color auto="1"/>
      </left>
      <right style="dotted">
        <color auto="1"/>
      </right>
      <top style="thin">
        <color auto="1"/>
      </top>
      <bottom/>
      <diagonal/>
    </border>
    <border>
      <left style="medium">
        <color auto="1"/>
      </left>
      <right style="dotted">
        <color auto="1"/>
      </right>
      <top/>
      <bottom style="medium">
        <color auto="1"/>
      </bottom>
      <diagonal/>
    </border>
    <border>
      <left style="dotted">
        <color auto="1"/>
      </left>
      <right style="thin">
        <color auto="1"/>
      </right>
      <top style="dotted">
        <color auto="1"/>
      </top>
      <bottom style="medium">
        <color auto="1"/>
      </bottom>
      <diagonal/>
    </border>
    <border>
      <left style="dotted">
        <color auto="1"/>
      </left>
      <right style="medium">
        <color auto="1"/>
      </right>
      <top/>
      <bottom style="medium">
        <color auto="1"/>
      </bottom>
      <diagonal/>
    </border>
    <border>
      <left/>
      <right/>
      <top style="dotted">
        <color auto="1"/>
      </top>
      <bottom/>
      <diagonal/>
    </border>
    <border>
      <left style="dotted">
        <color auto="1"/>
      </left>
      <right style="dotted">
        <color auto="1"/>
      </right>
      <top style="thin">
        <color auto="1"/>
      </top>
      <bottom style="medium">
        <color auto="1"/>
      </bottom>
      <diagonal/>
    </border>
    <border>
      <left/>
      <right/>
      <top style="thin">
        <color auto="1"/>
      </top>
      <bottom/>
      <diagonal/>
    </border>
    <border>
      <left/>
      <right style="dotted">
        <color auto="1"/>
      </right>
      <top style="thin">
        <color auto="1"/>
      </top>
      <bottom/>
      <diagonal/>
    </border>
    <border>
      <left style="medium">
        <color auto="1"/>
      </left>
      <right/>
      <top/>
      <bottom/>
      <diagonal/>
    </border>
    <border>
      <left style="medium">
        <color auto="1"/>
      </left>
      <right style="dotted">
        <color auto="1"/>
      </right>
      <top style="thin">
        <color auto="1"/>
      </top>
      <bottom style="medium">
        <color auto="1"/>
      </bottom>
      <diagonal/>
    </border>
  </borders>
  <cellStyleXfs count="1">
    <xf numFmtId="0" fontId="0" fillId="0" borderId="0" applyAlignment="1">
      <alignment vertical="center"/>
    </xf>
  </cellStyleXfs>
  <cellXfs count="191">
    <xf numFmtId="0" fontId="0" fillId="0" borderId="0" applyAlignment="1" pivotButton="0" quotePrefix="0" xfId="0">
      <alignment vertical="center"/>
    </xf>
    <xf numFmtId="0" fontId="1" fillId="0" borderId="0" applyAlignment="1" pivotButton="0" quotePrefix="0" xfId="0">
      <alignment horizontal="center" vertical="center"/>
    </xf>
    <xf numFmtId="0" fontId="2" fillId="2" borderId="1" applyAlignment="1" pivotButton="0" quotePrefix="0" xfId="0">
      <alignment horizontal="center" vertical="center" wrapText="1"/>
    </xf>
    <xf numFmtId="0" fontId="2" fillId="2" borderId="2" applyAlignment="1" pivotButton="0" quotePrefix="0" xfId="0">
      <alignment horizontal="center" vertical="center" wrapText="1"/>
    </xf>
    <xf numFmtId="0" fontId="2" fillId="2" borderId="3" applyAlignment="1" pivotButton="0" quotePrefix="0" xfId="0">
      <alignment horizontal="center" vertical="center" wrapText="1"/>
    </xf>
    <xf numFmtId="0" fontId="2" fillId="2" borderId="4" applyAlignment="1" pivotButton="0" quotePrefix="0" xfId="0">
      <alignment horizontal="center" vertical="center" wrapText="1"/>
    </xf>
    <xf numFmtId="0" fontId="2" fillId="3" borderId="5" applyAlignment="1" pivotButton="0" quotePrefix="0" xfId="0">
      <alignment horizontal="center" vertical="center" wrapText="1"/>
    </xf>
    <xf numFmtId="0" fontId="2" fillId="3" borderId="6" applyAlignment="1" pivotButton="0" quotePrefix="0" xfId="0">
      <alignment horizontal="center" vertical="center" wrapText="1"/>
    </xf>
    <xf numFmtId="0" fontId="2" fillId="3" borderId="6" applyAlignment="1" pivotButton="0" quotePrefix="0" xfId="0">
      <alignment horizontal="left" vertical="center" wrapText="1"/>
    </xf>
    <xf numFmtId="0" fontId="2" fillId="3" borderId="7" applyAlignment="1" pivotButton="0" quotePrefix="0" xfId="0">
      <alignment horizontal="left" vertical="center" wrapText="1"/>
    </xf>
    <xf numFmtId="0" fontId="2" fillId="3" borderId="8" applyAlignment="1" pivotButton="0" quotePrefix="0" xfId="0">
      <alignment horizontal="center" vertical="center" wrapText="1"/>
    </xf>
    <xf numFmtId="0" fontId="2" fillId="3" borderId="9" applyAlignment="1" pivotButton="0" quotePrefix="0" xfId="0">
      <alignment horizontal="center" vertical="center" wrapText="1"/>
    </xf>
    <xf numFmtId="0" fontId="2" fillId="3" borderId="10" applyAlignment="1" pivotButton="0" quotePrefix="0" xfId="0">
      <alignment horizontal="center" vertical="center" wrapText="1"/>
    </xf>
    <xf numFmtId="0" fontId="2" fillId="3" borderId="11" applyAlignment="1" pivotButton="0" quotePrefix="0" xfId="0">
      <alignment horizontal="left" vertical="center" wrapText="1"/>
    </xf>
    <xf numFmtId="0" fontId="2" fillId="3" borderId="11" applyAlignment="1" pivotButton="0" quotePrefix="0" xfId="0">
      <alignment horizontal="left" vertical="center" wrapText="1"/>
    </xf>
    <xf numFmtId="0" fontId="2" fillId="3" borderId="12" applyAlignment="1" pivotButton="0" quotePrefix="0" xfId="0">
      <alignment horizontal="left" vertical="center" wrapText="1"/>
    </xf>
    <xf numFmtId="0" fontId="2" fillId="3" borderId="10" applyAlignment="1" pivotButton="0" quotePrefix="0" xfId="0">
      <alignment horizontal="left" vertical="center" wrapText="1"/>
    </xf>
    <xf numFmtId="0" fontId="2" fillId="3" borderId="11" applyAlignment="1" pivotButton="0" quotePrefix="0" xfId="0">
      <alignment vertical="center" wrapText="1"/>
    </xf>
    <xf numFmtId="0" fontId="2" fillId="3" borderId="13" applyAlignment="1" pivotButton="0" quotePrefix="0" xfId="0">
      <alignment vertical="center" wrapText="1"/>
    </xf>
    <xf numFmtId="0" fontId="2" fillId="3" borderId="14" applyAlignment="1" pivotButton="0" quotePrefix="0" xfId="0">
      <alignment horizontal="center" vertical="center" wrapText="1"/>
    </xf>
    <xf numFmtId="0" fontId="2" fillId="3" borderId="15" applyAlignment="1" pivotButton="0" quotePrefix="0" xfId="0">
      <alignment horizontal="left" vertical="center" wrapText="1"/>
    </xf>
    <xf numFmtId="0" fontId="2" fillId="3" borderId="16" applyAlignment="1" pivotButton="0" quotePrefix="0" xfId="0">
      <alignment vertical="center" wrapText="1"/>
    </xf>
    <xf numFmtId="0" fontId="2" fillId="3" borderId="17" applyAlignment="1" pivotButton="0" quotePrefix="0" xfId="0">
      <alignment horizontal="left" vertical="center" wrapText="1"/>
    </xf>
    <xf numFmtId="0" fontId="2" fillId="3" borderId="18" applyAlignment="1" pivotButton="0" quotePrefix="0" xfId="0">
      <alignment horizontal="left" vertical="center" wrapText="1"/>
    </xf>
    <xf numFmtId="0" fontId="2" fillId="3" borderId="16" applyAlignment="1" pivotButton="0" quotePrefix="0" xfId="0">
      <alignment horizontal="left" vertical="center" wrapText="1"/>
    </xf>
    <xf numFmtId="0" fontId="2" fillId="3" borderId="19" applyAlignment="1" pivotButton="0" quotePrefix="0" xfId="0">
      <alignment horizontal="left" vertical="center" wrapText="1"/>
    </xf>
    <xf numFmtId="0" fontId="2" fillId="3" borderId="13" applyAlignment="1" pivotButton="0" quotePrefix="0" xfId="0">
      <alignment horizontal="left" vertical="center" wrapText="1"/>
    </xf>
    <xf numFmtId="0" fontId="2" fillId="3" borderId="20" applyAlignment="1" pivotButton="0" quotePrefix="0" xfId="0">
      <alignment horizontal="left" vertical="center" wrapText="1"/>
    </xf>
    <xf numFmtId="0" fontId="2" fillId="3" borderId="21" applyAlignment="1" pivotButton="0" quotePrefix="0" xfId="0">
      <alignment horizontal="left" vertical="center" wrapText="1"/>
    </xf>
    <xf numFmtId="0" fontId="2" fillId="3" borderId="9" applyAlignment="1" pivotButton="0" quotePrefix="0" xfId="0">
      <alignment horizontal="left" vertical="center" wrapText="1"/>
    </xf>
    <xf numFmtId="0" fontId="2" fillId="3" borderId="22" applyAlignment="1" pivotButton="0" quotePrefix="0" xfId="0">
      <alignment horizontal="center" vertical="center" wrapText="1"/>
    </xf>
    <xf numFmtId="0" fontId="2" fillId="3" borderId="23" applyAlignment="1" pivotButton="0" quotePrefix="0" xfId="0">
      <alignment horizontal="left" vertical="center" wrapText="1"/>
    </xf>
    <xf numFmtId="0" fontId="2" fillId="3" borderId="13" applyAlignment="1" pivotButton="0" quotePrefix="0" xfId="0">
      <alignment horizontal="left" vertical="center" wrapText="1"/>
    </xf>
    <xf numFmtId="0" fontId="2" fillId="3" borderId="24" applyAlignment="1" pivotButton="0" quotePrefix="0" xfId="0">
      <alignment horizontal="center" vertical="center" wrapText="1"/>
    </xf>
    <xf numFmtId="0" fontId="2" fillId="3" borderId="18" applyAlignment="1" pivotButton="0" quotePrefix="0" xfId="0">
      <alignment horizontal="left" vertical="center" wrapText="1"/>
    </xf>
    <xf numFmtId="0" fontId="2" fillId="3" borderId="25" applyAlignment="1" pivotButton="0" quotePrefix="0" xfId="0">
      <alignment horizontal="left" vertical="center" wrapText="1"/>
    </xf>
    <xf numFmtId="0" fontId="2" fillId="3" borderId="18" applyAlignment="1" pivotButton="0" quotePrefix="0" xfId="0">
      <alignment vertical="center" wrapText="1"/>
    </xf>
    <xf numFmtId="0" fontId="2" fillId="3" borderId="19" applyAlignment="1" pivotButton="0" quotePrefix="0" xfId="0">
      <alignment horizontal="left" vertical="center" wrapText="1"/>
    </xf>
    <xf numFmtId="0" fontId="2" fillId="3" borderId="26" applyAlignment="1" pivotButton="0" quotePrefix="0" xfId="0">
      <alignment horizontal="center" vertical="center" wrapText="1"/>
    </xf>
    <xf numFmtId="0" fontId="2" fillId="3" borderId="27" applyAlignment="1" pivotButton="0" quotePrefix="0" xfId="0">
      <alignment horizontal="center" vertical="center" wrapText="1"/>
    </xf>
    <xf numFmtId="0" fontId="2" fillId="3" borderId="28" applyAlignment="1" pivotButton="0" quotePrefix="0" xfId="0">
      <alignment horizontal="left" vertical="center" wrapText="1"/>
    </xf>
    <xf numFmtId="0" fontId="2" fillId="3" borderId="29" applyAlignment="1" pivotButton="0" quotePrefix="0" xfId="0">
      <alignment horizontal="left" vertical="center" wrapText="1"/>
    </xf>
    <xf numFmtId="0" fontId="2" fillId="3" borderId="30" applyAlignment="1" pivotButton="0" quotePrefix="0" xfId="0">
      <alignment horizontal="left" vertical="center" wrapText="1"/>
    </xf>
    <xf numFmtId="0" fontId="2" fillId="3" borderId="31" applyAlignment="1" pivotButton="0" quotePrefix="0" xfId="0">
      <alignment horizontal="left" vertical="center" wrapText="1"/>
    </xf>
    <xf numFmtId="0" fontId="2" fillId="3" borderId="32" applyAlignment="1" pivotButton="0" quotePrefix="0" xfId="0">
      <alignment horizontal="left" vertical="center" wrapText="1"/>
    </xf>
    <xf numFmtId="0" fontId="2" fillId="3" borderId="33" applyAlignment="1" pivotButton="0" quotePrefix="0" xfId="0">
      <alignment horizontal="left" vertical="center" wrapText="1"/>
    </xf>
    <xf numFmtId="0" fontId="2" fillId="3" borderId="11" applyAlignment="1" pivotButton="0" quotePrefix="0" xfId="0">
      <alignment horizontal="center" vertical="center" wrapText="1"/>
    </xf>
    <xf numFmtId="0" fontId="2" fillId="3" borderId="15" applyAlignment="1" pivotButton="0" quotePrefix="0" xfId="0">
      <alignment vertical="center" wrapText="1"/>
    </xf>
    <xf numFmtId="0" fontId="2" fillId="3" borderId="34" applyAlignment="1" pivotButton="0" quotePrefix="0" xfId="0">
      <alignment horizontal="left" vertical="center" wrapText="1"/>
    </xf>
    <xf numFmtId="0" fontId="2" fillId="3" borderId="35" applyAlignment="1" pivotButton="0" quotePrefix="0" xfId="0">
      <alignment horizontal="left" vertical="center" wrapText="1"/>
    </xf>
    <xf numFmtId="0" fontId="2" fillId="3" borderId="36" applyAlignment="1" pivotButton="0" quotePrefix="0" xfId="0">
      <alignment horizontal="left" vertical="center" wrapText="1"/>
    </xf>
    <xf numFmtId="0" fontId="2" fillId="3" borderId="37" applyAlignment="1" pivotButton="0" quotePrefix="0" xfId="0">
      <alignment horizontal="left" vertical="center" wrapText="1"/>
    </xf>
    <xf numFmtId="0" fontId="2" fillId="3" borderId="38" applyAlignment="1" pivotButton="0" quotePrefix="0" xfId="0">
      <alignment horizontal="left" vertical="center" wrapText="1"/>
    </xf>
    <xf numFmtId="0" fontId="2" fillId="3" borderId="39" applyAlignment="1" pivotButton="0" quotePrefix="0" xfId="0">
      <alignment horizontal="center" vertical="center" wrapText="1"/>
    </xf>
    <xf numFmtId="0" fontId="2" fillId="3" borderId="40" applyAlignment="1" pivotButton="0" quotePrefix="0" xfId="0">
      <alignment horizontal="center" vertical="center" wrapText="1"/>
    </xf>
    <xf numFmtId="0" fontId="2" fillId="3" borderId="41" applyAlignment="1" pivotButton="0" quotePrefix="0" xfId="0">
      <alignment horizontal="left" vertical="center" wrapText="1"/>
    </xf>
    <xf numFmtId="0" fontId="2" fillId="3" borderId="42" applyAlignment="1" pivotButton="0" quotePrefix="0" xfId="0">
      <alignment horizontal="left" vertical="center" wrapText="1"/>
    </xf>
    <xf numFmtId="0" fontId="2" fillId="3" borderId="43" applyAlignment="1" pivotButton="0" quotePrefix="0" xfId="0">
      <alignment horizontal="left" vertical="center" wrapText="1"/>
    </xf>
    <xf numFmtId="0" fontId="2" fillId="3" borderId="44" applyAlignment="1" pivotButton="0" quotePrefix="0" xfId="0">
      <alignment horizontal="left" vertical="center" wrapText="1"/>
    </xf>
    <xf numFmtId="0" fontId="2" fillId="0" borderId="0" pivotButton="0" quotePrefix="0" xfId="0"/>
    <xf numFmtId="0" fontId="2" fillId="0" borderId="0" applyAlignment="1" pivotButton="0" quotePrefix="0" xfId="0">
      <alignment vertical="center"/>
    </xf>
    <xf numFmtId="0" fontId="2" fillId="0" borderId="0" applyAlignment="1" pivotButton="0" quotePrefix="0" xfId="0">
      <alignment horizontal="center" vertical="center"/>
    </xf>
    <xf numFmtId="0" fontId="2" fillId="2" borderId="45" applyAlignment="1" pivotButton="0" quotePrefix="0" xfId="0">
      <alignment horizontal="center" vertical="center" wrapText="1"/>
    </xf>
    <xf numFmtId="0" fontId="2" fillId="2" borderId="46" applyAlignment="1" pivotButton="0" quotePrefix="0" xfId="0">
      <alignment horizontal="center" vertical="center" wrapText="1"/>
    </xf>
    <xf numFmtId="3" fontId="2" fillId="2" borderId="3" applyAlignment="1" pivotButton="0" quotePrefix="0" xfId="0">
      <alignment horizontal="center" vertical="center"/>
    </xf>
    <xf numFmtId="3" fontId="2" fillId="2" borderId="3" applyAlignment="1" pivotButton="0" quotePrefix="0" xfId="0">
      <alignment horizontal="center" vertical="center" wrapText="1"/>
    </xf>
    <xf numFmtId="0" fontId="2" fillId="0" borderId="47" applyAlignment="1" pivotButton="0" quotePrefix="0" xfId="0">
      <alignment horizontal="center" vertical="center" textRotation="255"/>
    </xf>
    <xf numFmtId="0" fontId="2" fillId="0" borderId="48" applyAlignment="1" pivotButton="0" quotePrefix="0" xfId="0">
      <alignment horizontal="center" vertical="center" textRotation="255"/>
    </xf>
    <xf numFmtId="0" fontId="3" fillId="0" borderId="49" applyAlignment="1" pivotButton="0" quotePrefix="0" xfId="0">
      <alignment horizontal="left" vertical="center"/>
    </xf>
    <xf numFmtId="0" fontId="2" fillId="0" borderId="35" applyAlignment="1" pivotButton="0" quotePrefix="0" xfId="0">
      <alignment horizontal="center"/>
    </xf>
    <xf numFmtId="164" fontId="2" fillId="0" borderId="11" applyAlignment="1" pivotButton="0" quotePrefix="0" xfId="0">
      <alignment horizontal="center" vertical="center"/>
    </xf>
    <xf numFmtId="164" fontId="2" fillId="0" borderId="11" applyAlignment="1" pivotButton="0" quotePrefix="0" xfId="0">
      <alignment horizontal="center"/>
    </xf>
    <xf numFmtId="164" fontId="2" fillId="0" borderId="11" pivotButton="0" quotePrefix="0" xfId="0"/>
    <xf numFmtId="0" fontId="2" fillId="0" borderId="13" applyAlignment="1" pivotButton="0" quotePrefix="0" xfId="0">
      <alignment horizontal="center" vertical="center"/>
    </xf>
    <xf numFmtId="0" fontId="2" fillId="0" borderId="50" applyAlignment="1" pivotButton="0" quotePrefix="0" xfId="0">
      <alignment horizontal="left" vertical="center" indent="1"/>
    </xf>
    <xf numFmtId="0" fontId="2" fillId="0" borderId="38" applyAlignment="1" pivotButton="0" quotePrefix="0" xfId="0">
      <alignment horizontal="center" vertical="center"/>
    </xf>
    <xf numFmtId="164" fontId="2" fillId="0" borderId="15" applyAlignment="1" pivotButton="0" quotePrefix="0" xfId="0">
      <alignment horizontal="center"/>
    </xf>
    <xf numFmtId="164" fontId="2" fillId="0" borderId="15" pivotButton="0" quotePrefix="0" xfId="0"/>
    <xf numFmtId="0" fontId="2" fillId="0" borderId="51" applyAlignment="1" pivotButton="0" quotePrefix="0" xfId="0">
      <alignment horizontal="left" vertical="center" indent="1"/>
    </xf>
    <xf numFmtId="0" fontId="2" fillId="0" borderId="33" applyAlignment="1" pivotButton="0" quotePrefix="0" xfId="0">
      <alignment horizontal="center" vertical="center"/>
    </xf>
    <xf numFmtId="164" fontId="2" fillId="0" borderId="10" applyAlignment="1" pivotButton="0" quotePrefix="0" xfId="0">
      <alignment horizontal="center" vertical="center"/>
    </xf>
    <xf numFmtId="164" fontId="2" fillId="0" borderId="21" applyAlignment="1" pivotButton="0" quotePrefix="0" xfId="0">
      <alignment horizontal="center"/>
    </xf>
    <xf numFmtId="164" fontId="2" fillId="0" borderId="9" applyAlignment="1" pivotButton="0" quotePrefix="0" xfId="0">
      <alignment horizontal="center" vertical="center"/>
    </xf>
    <xf numFmtId="164" fontId="2" fillId="0" borderId="18" pivotButton="0" quotePrefix="0" xfId="0"/>
    <xf numFmtId="0" fontId="2" fillId="0" borderId="20" applyAlignment="1" pivotButton="0" quotePrefix="0" xfId="0">
      <alignment horizontal="center" vertical="center"/>
    </xf>
    <xf numFmtId="10" fontId="2" fillId="0" borderId="35" applyAlignment="1" pivotButton="0" quotePrefix="0" xfId="0">
      <alignment vertical="center"/>
    </xf>
    <xf numFmtId="164" fontId="2" fillId="0" borderId="28" applyAlignment="1" pivotButton="0" quotePrefix="0" xfId="0">
      <alignment horizontal="center" vertical="center"/>
    </xf>
    <xf numFmtId="164" fontId="2" fillId="0" borderId="11" applyAlignment="1" pivotButton="0" quotePrefix="0" xfId="0">
      <alignment vertical="center"/>
    </xf>
    <xf numFmtId="164" fontId="2" fillId="0" borderId="28" applyAlignment="1" pivotButton="0" quotePrefix="0" xfId="0">
      <alignment vertical="center"/>
    </xf>
    <xf numFmtId="0" fontId="2" fillId="0" borderId="31" applyAlignment="1" pivotButton="0" quotePrefix="0" xfId="0">
      <alignment horizontal="center" vertical="center"/>
    </xf>
    <xf numFmtId="10" fontId="2" fillId="0" borderId="38" applyAlignment="1" pivotButton="0" quotePrefix="0" xfId="0">
      <alignment vertical="center"/>
    </xf>
    <xf numFmtId="164" fontId="2" fillId="0" borderId="15" applyAlignment="1" pivotButton="0" quotePrefix="0" xfId="0">
      <alignment horizontal="right"/>
    </xf>
    <xf numFmtId="164" fontId="2" fillId="0" borderId="15" applyAlignment="1" pivotButton="0" quotePrefix="0" xfId="0">
      <alignment vertical="center"/>
    </xf>
    <xf numFmtId="10" fontId="2" fillId="0" borderId="33" applyAlignment="1" pivotButton="0" quotePrefix="0" xfId="0">
      <alignment vertical="center"/>
    </xf>
    <xf numFmtId="164" fontId="2" fillId="0" borderId="21" applyAlignment="1" pivotButton="0" quotePrefix="0" xfId="0">
      <alignment horizontal="right"/>
    </xf>
    <xf numFmtId="164" fontId="2" fillId="0" borderId="21" applyAlignment="1" pivotButton="0" quotePrefix="0" xfId="0">
      <alignment vertical="center"/>
    </xf>
    <xf numFmtId="0" fontId="2" fillId="0" borderId="52" applyAlignment="1" pivotButton="0" quotePrefix="0" xfId="0">
      <alignment horizontal="center" vertical="center"/>
    </xf>
    <xf numFmtId="165" fontId="2" fillId="0" borderId="38" applyAlignment="1" pivotButton="0" quotePrefix="0" xfId="0">
      <alignment vertical="center"/>
    </xf>
    <xf numFmtId="0" fontId="2" fillId="0" borderId="53" applyAlignment="1" pivotButton="0" quotePrefix="0" xfId="0">
      <alignment horizontal="left" vertical="center" indent="1"/>
    </xf>
    <xf numFmtId="165" fontId="2" fillId="0" borderId="25" applyAlignment="1" pivotButton="0" quotePrefix="0" xfId="0">
      <alignment vertical="center"/>
    </xf>
    <xf numFmtId="164" fontId="2" fillId="0" borderId="18" applyAlignment="1" pivotButton="0" quotePrefix="0" xfId="0">
      <alignment horizontal="right"/>
    </xf>
    <xf numFmtId="164" fontId="2" fillId="0" borderId="18" applyAlignment="1" pivotButton="0" quotePrefix="0" xfId="0">
      <alignment vertical="center"/>
    </xf>
    <xf numFmtId="0" fontId="3" fillId="0" borderId="54" applyAlignment="1" pivotButton="0" quotePrefix="0" xfId="0">
      <alignment horizontal="left" vertical="center"/>
    </xf>
    <xf numFmtId="10" fontId="2" fillId="0" borderId="30" applyAlignment="1" pivotButton="0" quotePrefix="0" xfId="0">
      <alignment vertical="center"/>
    </xf>
    <xf numFmtId="0" fontId="3" fillId="0" borderId="50" applyAlignment="1" pivotButton="0" quotePrefix="0" xfId="0">
      <alignment horizontal="left" vertical="center"/>
    </xf>
    <xf numFmtId="0" fontId="2" fillId="0" borderId="50" applyAlignment="1" pivotButton="0" quotePrefix="0" xfId="0">
      <alignment horizontal="left" vertical="center" wrapText="1" indent="1"/>
    </xf>
    <xf numFmtId="166" fontId="2" fillId="0" borderId="38" applyAlignment="1" pivotButton="0" quotePrefix="0" xfId="0">
      <alignment vertical="center"/>
    </xf>
    <xf numFmtId="0" fontId="2" fillId="0" borderId="47" applyAlignment="1" pivotButton="0" quotePrefix="0" xfId="0">
      <alignment horizontal="center" vertical="center" textRotation="255" wrapText="1"/>
    </xf>
    <xf numFmtId="0" fontId="2" fillId="0" borderId="48" applyAlignment="1" pivotButton="0" quotePrefix="0" xfId="0">
      <alignment horizontal="center" vertical="center" textRotation="255" wrapText="1"/>
    </xf>
    <xf numFmtId="0" fontId="2" fillId="0" borderId="49" applyAlignment="1" pivotButton="0" quotePrefix="0" xfId="0">
      <alignment horizontal="left" vertical="center"/>
    </xf>
    <xf numFmtId="0" fontId="2" fillId="0" borderId="35" pivotButton="0" quotePrefix="0" xfId="0"/>
    <xf numFmtId="0" fontId="2" fillId="0" borderId="50" applyAlignment="1" pivotButton="0" quotePrefix="0" xfId="0">
      <alignment horizontal="left" vertical="center"/>
    </xf>
    <xf numFmtId="0" fontId="2" fillId="0" borderId="38" pivotButton="0" quotePrefix="0" xfId="0"/>
    <xf numFmtId="164" fontId="2" fillId="0" borderId="15" applyAlignment="1" pivotButton="0" quotePrefix="0" xfId="0">
      <alignment horizontal="center" vertical="center"/>
    </xf>
    <xf numFmtId="0" fontId="2" fillId="0" borderId="51" applyAlignment="1" pivotButton="0" quotePrefix="0" xfId="0">
      <alignment horizontal="left" vertical="center"/>
    </xf>
    <xf numFmtId="0" fontId="2" fillId="0" borderId="33" pivotButton="0" quotePrefix="0" xfId="0"/>
    <xf numFmtId="164" fontId="2" fillId="0" borderId="21" applyAlignment="1" pivotButton="0" quotePrefix="0" xfId="0">
      <alignment horizontal="center" vertical="center"/>
    </xf>
    <xf numFmtId="164" fontId="2" fillId="0" borderId="21" pivotButton="0" quotePrefix="0" xfId="0"/>
    <xf numFmtId="0" fontId="2" fillId="0" borderId="48" applyAlignment="1" pivotButton="0" quotePrefix="0" xfId="0">
      <alignment horizontal="center" vertical="center"/>
    </xf>
    <xf numFmtId="0" fontId="2" fillId="0" borderId="55" applyAlignment="1" pivotButton="0" quotePrefix="0" xfId="0">
      <alignment horizontal="left" vertical="center"/>
    </xf>
    <xf numFmtId="0" fontId="2" fillId="0" borderId="36" pivotButton="0" quotePrefix="0" xfId="0"/>
    <xf numFmtId="164" fontId="2" fillId="0" borderId="6" applyAlignment="1" pivotButton="0" quotePrefix="0" xfId="0">
      <alignment horizontal="center" vertical="center"/>
    </xf>
    <xf numFmtId="164" fontId="2" fillId="0" borderId="10" pivotButton="0" quotePrefix="0" xfId="0"/>
    <xf numFmtId="164" fontId="2" fillId="0" borderId="6" pivotButton="0" quotePrefix="0" xfId="0"/>
    <xf numFmtId="0" fontId="2" fillId="0" borderId="7" applyAlignment="1" pivotButton="0" quotePrefix="0" xfId="0">
      <alignment horizontal="center" vertical="center"/>
    </xf>
    <xf numFmtId="0" fontId="2" fillId="0" borderId="56" applyAlignment="1" pivotButton="0" quotePrefix="0" xfId="0">
      <alignment horizontal="center" vertical="center" wrapText="1"/>
    </xf>
    <xf numFmtId="0" fontId="2" fillId="0" borderId="57" applyAlignment="1" pivotButton="0" quotePrefix="0" xfId="0">
      <alignment horizontal="center" vertical="center" wrapText="1"/>
    </xf>
    <xf numFmtId="0" fontId="2" fillId="0" borderId="48" applyAlignment="1" pivotButton="0" quotePrefix="0" xfId="0">
      <alignment horizontal="center" vertical="center" wrapText="1"/>
    </xf>
    <xf numFmtId="0" fontId="2" fillId="0" borderId="54" applyAlignment="1" pivotButton="0" quotePrefix="0" xfId="0">
      <alignment horizontal="left" vertical="center"/>
    </xf>
    <xf numFmtId="0" fontId="2" fillId="0" borderId="30" pivotButton="0" quotePrefix="0" xfId="0"/>
    <xf numFmtId="164" fontId="2" fillId="0" borderId="28" pivotButton="0" quotePrefix="0" xfId="0"/>
    <xf numFmtId="0" fontId="2" fillId="0" borderId="58" applyAlignment="1" pivotButton="0" quotePrefix="0" xfId="0">
      <alignment horizontal="left" vertical="center"/>
    </xf>
    <xf numFmtId="0" fontId="2" fillId="0" borderId="43" pivotButton="0" quotePrefix="0" xfId="0"/>
    <xf numFmtId="164" fontId="2" fillId="0" borderId="39" applyAlignment="1" pivotButton="0" quotePrefix="0" xfId="0">
      <alignment horizontal="center" vertical="center"/>
    </xf>
    <xf numFmtId="164" fontId="2" fillId="0" borderId="41" applyAlignment="1" pivotButton="0" quotePrefix="0" xfId="0">
      <alignment horizontal="center" vertical="center"/>
    </xf>
    <xf numFmtId="164" fontId="2" fillId="0" borderId="41" pivotButton="0" quotePrefix="0" xfId="0"/>
    <xf numFmtId="0" fontId="2" fillId="0" borderId="59" applyAlignment="1" pivotButton="0" quotePrefix="0" xfId="0">
      <alignment horizontal="center" vertical="center"/>
    </xf>
    <xf numFmtId="0" fontId="2" fillId="0" borderId="0" applyAlignment="1" pivotButton="0" quotePrefix="0" xfId="0">
      <alignment horizontal="left"/>
    </xf>
    <xf numFmtId="3" fontId="2" fillId="0" borderId="0" pivotButton="0" quotePrefix="0" xfId="0"/>
    <xf numFmtId="0" fontId="0" fillId="0" borderId="0" pivotButton="0" quotePrefix="0" xfId="0"/>
    <xf numFmtId="0" fontId="0" fillId="0" borderId="10" pivotButton="0" quotePrefix="0" xfId="0"/>
    <xf numFmtId="0" fontId="0" fillId="0" borderId="11" pivotButton="0" quotePrefix="0" xfId="0"/>
    <xf numFmtId="0" fontId="0" fillId="0" borderId="20" pivotButton="0" quotePrefix="0" xfId="0"/>
    <xf numFmtId="0" fontId="0" fillId="0" borderId="13" pivotButton="0" quotePrefix="0" xfId="0"/>
    <xf numFmtId="0" fontId="0" fillId="0" borderId="9" pivotButton="0" quotePrefix="0" xfId="0"/>
    <xf numFmtId="0" fontId="0" fillId="0" borderId="25" pivotButton="0" quotePrefix="0" xfId="0"/>
    <xf numFmtId="0" fontId="0" fillId="0" borderId="30" pivotButton="0" quotePrefix="0" xfId="0"/>
    <xf numFmtId="0" fontId="0" fillId="0" borderId="33" pivotButton="0" quotePrefix="0" xfId="0"/>
    <xf numFmtId="0" fontId="0" fillId="0" borderId="12" pivotButton="0" quotePrefix="0" xfId="0"/>
    <xf numFmtId="0" fontId="0" fillId="0" borderId="36" pivotButton="0" quotePrefix="0" xfId="0"/>
    <xf numFmtId="0" fontId="0" fillId="0" borderId="34" pivotButton="0" quotePrefix="0" xfId="0"/>
    <xf numFmtId="0" fontId="0" fillId="0" borderId="35" pivotButton="0" quotePrefix="0" xfId="0"/>
    <xf numFmtId="0" fontId="0" fillId="0" borderId="38" pivotButton="0" quotePrefix="0" xfId="0"/>
    <xf numFmtId="0" fontId="2" fillId="3" borderId="61" applyAlignment="1" pivotButton="0" quotePrefix="0" xfId="0">
      <alignment horizontal="center" vertical="center" wrapText="1"/>
    </xf>
    <xf numFmtId="0" fontId="0" fillId="0" borderId="39" pivotButton="0" quotePrefix="0" xfId="0"/>
    <xf numFmtId="0" fontId="0" fillId="0" borderId="43" pivotButton="0" quotePrefix="0" xfId="0"/>
    <xf numFmtId="164" fontId="2" fillId="0" borderId="11" applyAlignment="1" pivotButton="0" quotePrefix="0" xfId="0">
      <alignment horizontal="center" vertical="center"/>
    </xf>
    <xf numFmtId="164" fontId="2" fillId="0" borderId="11" applyAlignment="1" pivotButton="0" quotePrefix="0" xfId="0">
      <alignment horizontal="center"/>
    </xf>
    <xf numFmtId="164" fontId="2" fillId="0" borderId="11" pivotButton="0" quotePrefix="0" xfId="0"/>
    <xf numFmtId="0" fontId="0" fillId="0" borderId="48" pivotButton="0" quotePrefix="0" xfId="0"/>
    <xf numFmtId="164" fontId="2" fillId="0" borderId="15" applyAlignment="1" pivotButton="0" quotePrefix="0" xfId="0">
      <alignment horizontal="center"/>
    </xf>
    <xf numFmtId="164" fontId="2" fillId="0" borderId="15" pivotButton="0" quotePrefix="0" xfId="0"/>
    <xf numFmtId="164" fontId="2" fillId="0" borderId="10" applyAlignment="1" pivotButton="0" quotePrefix="0" xfId="0">
      <alignment horizontal="center" vertical="center"/>
    </xf>
    <xf numFmtId="164" fontId="2" fillId="0" borderId="21" applyAlignment="1" pivotButton="0" quotePrefix="0" xfId="0">
      <alignment horizontal="center"/>
    </xf>
    <xf numFmtId="164" fontId="2" fillId="0" borderId="9" applyAlignment="1" pivotButton="0" quotePrefix="0" xfId="0">
      <alignment horizontal="center" vertical="center"/>
    </xf>
    <xf numFmtId="164" fontId="2" fillId="0" borderId="18" pivotButton="0" quotePrefix="0" xfId="0"/>
    <xf numFmtId="164" fontId="2" fillId="0" borderId="28" applyAlignment="1" pivotButton="0" quotePrefix="0" xfId="0">
      <alignment horizontal="center" vertical="center"/>
    </xf>
    <xf numFmtId="164" fontId="2" fillId="0" borderId="11" applyAlignment="1" pivotButton="0" quotePrefix="0" xfId="0">
      <alignment vertical="center"/>
    </xf>
    <xf numFmtId="164" fontId="2" fillId="0" borderId="28" applyAlignment="1" pivotButton="0" quotePrefix="0" xfId="0">
      <alignment vertical="center"/>
    </xf>
    <xf numFmtId="164" fontId="2" fillId="0" borderId="15" applyAlignment="1" pivotButton="0" quotePrefix="0" xfId="0">
      <alignment horizontal="right"/>
    </xf>
    <xf numFmtId="164" fontId="2" fillId="0" borderId="15" applyAlignment="1" pivotButton="0" quotePrefix="0" xfId="0">
      <alignment vertical="center"/>
    </xf>
    <xf numFmtId="164" fontId="2" fillId="0" borderId="21" applyAlignment="1" pivotButton="0" quotePrefix="0" xfId="0">
      <alignment horizontal="right"/>
    </xf>
    <xf numFmtId="164" fontId="2" fillId="0" borderId="21" applyAlignment="1" pivotButton="0" quotePrefix="0" xfId="0">
      <alignment vertical="center"/>
    </xf>
    <xf numFmtId="165" fontId="2" fillId="0" borderId="38" applyAlignment="1" pivotButton="0" quotePrefix="0" xfId="0">
      <alignment vertical="center"/>
    </xf>
    <xf numFmtId="165" fontId="2" fillId="0" borderId="25" applyAlignment="1" pivotButton="0" quotePrefix="0" xfId="0">
      <alignment vertical="center"/>
    </xf>
    <xf numFmtId="164" fontId="2" fillId="0" borderId="18" applyAlignment="1" pivotButton="0" quotePrefix="0" xfId="0">
      <alignment horizontal="right"/>
    </xf>
    <xf numFmtId="164" fontId="2" fillId="0" borderId="18" applyAlignment="1" pivotButton="0" quotePrefix="0" xfId="0">
      <alignment vertical="center"/>
    </xf>
    <xf numFmtId="166" fontId="2" fillId="0" borderId="38" applyAlignment="1" pivotButton="0" quotePrefix="0" xfId="0">
      <alignment vertical="center"/>
    </xf>
    <xf numFmtId="0" fontId="0" fillId="0" borderId="47" pivotButton="0" quotePrefix="0" xfId="0"/>
    <xf numFmtId="164" fontId="2" fillId="0" borderId="15" applyAlignment="1" pivotButton="0" quotePrefix="0" xfId="0">
      <alignment horizontal="center" vertical="center"/>
    </xf>
    <xf numFmtId="164" fontId="2" fillId="0" borderId="21" applyAlignment="1" pivotButton="0" quotePrefix="0" xfId="0">
      <alignment horizontal="center" vertical="center"/>
    </xf>
    <xf numFmtId="164" fontId="2" fillId="0" borderId="21" pivotButton="0" quotePrefix="0" xfId="0"/>
    <xf numFmtId="164" fontId="2" fillId="0" borderId="6" applyAlignment="1" pivotButton="0" quotePrefix="0" xfId="0">
      <alignment horizontal="center" vertical="center"/>
    </xf>
    <xf numFmtId="164" fontId="2" fillId="0" borderId="10" pivotButton="0" quotePrefix="0" xfId="0"/>
    <xf numFmtId="164" fontId="2" fillId="0" borderId="6" pivotButton="0" quotePrefix="0" xfId="0"/>
    <xf numFmtId="0" fontId="2" fillId="0" borderId="65" applyAlignment="1" pivotButton="0" quotePrefix="0" xfId="0">
      <alignment horizontal="center" vertical="center" wrapText="1"/>
    </xf>
    <xf numFmtId="164" fontId="2" fillId="0" borderId="28" pivotButton="0" quotePrefix="0" xfId="0"/>
    <xf numFmtId="0" fontId="0" fillId="0" borderId="57" pivotButton="0" quotePrefix="0" xfId="0"/>
    <xf numFmtId="164" fontId="2" fillId="0" borderId="39" applyAlignment="1" pivotButton="0" quotePrefix="0" xfId="0">
      <alignment horizontal="center" vertical="center"/>
    </xf>
    <xf numFmtId="164" fontId="2" fillId="0" borderId="41" applyAlignment="1" pivotButton="0" quotePrefix="0" xfId="0">
      <alignment horizontal="center" vertical="center"/>
    </xf>
    <xf numFmtId="164" fontId="2" fillId="0" borderId="41" pivotButton="0" quotePrefix="0" xfId="0"/>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styles" Target="styles.xml" Id="rId3" /><Relationship Type="http://schemas.openxmlformats.org/officeDocument/2006/relationships/theme" Target="theme/theme1.xml" Id="rId4"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L83"/>
  <sheetViews>
    <sheetView workbookViewId="0">
      <selection activeCell="O5" sqref="O5"/>
    </sheetView>
  </sheetViews>
  <sheetFormatPr baseColWidth="8" defaultRowHeight="14"/>
  <cols>
    <col width="33.90625" customWidth="1" style="139" min="6" max="6"/>
  </cols>
  <sheetData>
    <row r="1" ht="24.5" customHeight="1" s="139" thickBot="1">
      <c r="A1" s="1" t="inlineStr">
        <is>
          <t>全面預算編制工作計畫</t>
        </is>
      </c>
    </row>
    <row r="2" ht="29" customHeight="1" s="139">
      <c r="A2" s="2" t="inlineStr">
        <is>
          <t>序號</t>
        </is>
      </c>
      <c r="B2" s="3" t="inlineStr">
        <is>
          <t>步驟</t>
        </is>
      </c>
      <c r="C2" s="3" t="inlineStr">
        <is>
          <t>類別</t>
        </is>
      </c>
      <c r="D2" s="4" t="inlineStr">
        <is>
          <t>任務項</t>
        </is>
      </c>
      <c r="E2" s="4" t="inlineStr">
        <is>
          <t>任務內容</t>
        </is>
      </c>
      <c r="F2" s="4" t="inlineStr">
        <is>
          <t>成果</t>
        </is>
      </c>
      <c r="G2" s="4" t="inlineStr">
        <is>
          <t>時間</t>
        </is>
      </c>
      <c r="H2" s="3" t="inlineStr">
        <is>
          <t>關鍵控制點</t>
        </is>
      </c>
      <c r="I2" s="4" t="inlineStr">
        <is>
          <t>公司領導</t>
        </is>
      </c>
      <c r="J2" s="4" t="inlineStr">
        <is>
          <t>主責領導</t>
        </is>
      </c>
      <c r="K2" s="4" t="inlineStr">
        <is>
          <t>責任部門</t>
        </is>
      </c>
      <c r="L2" s="5" t="inlineStr">
        <is>
          <t>備註</t>
        </is>
      </c>
    </row>
    <row r="3" ht="87" customHeight="1" s="139">
      <c r="A3" s="6" t="n">
        <v>1</v>
      </c>
      <c r="B3" s="7" t="inlineStr">
        <is>
          <t>啟動</t>
        </is>
      </c>
      <c r="C3" s="7" t="inlineStr">
        <is>
          <t>統籌</t>
        </is>
      </c>
      <c r="D3" s="7" t="inlineStr">
        <is>
          <t>全面預算工作啟動</t>
        </is>
      </c>
      <c r="E3" s="8" t="inlineStr">
        <is>
          <t>發佈全面預算啟動通知</t>
        </is>
      </c>
      <c r="F3" s="8" t="inlineStr">
        <is>
          <t>全面預算啟動通知發佈及全面預算行動方案執行</t>
        </is>
      </c>
      <c r="G3" s="8" t="inlineStr">
        <is>
          <t>9.1-9.10</t>
        </is>
      </c>
      <c r="H3" s="8" t="inlineStr">
        <is>
          <t>培訓、宣貫</t>
        </is>
      </c>
      <c r="I3" s="8" t="inlineStr">
        <is>
          <t>杜總、梁總、盧總</t>
        </is>
      </c>
      <c r="J3" s="8" t="n"/>
      <c r="K3" s="8" t="inlineStr">
        <is>
          <t>預算委員會</t>
        </is>
      </c>
      <c r="L3" s="9" t="n"/>
    </row>
    <row r="4" ht="58" customHeight="1" s="139">
      <c r="A4" s="10" t="n">
        <v>2</v>
      </c>
      <c r="B4" s="11" t="inlineStr">
        <is>
          <t>內部分析</t>
        </is>
      </c>
      <c r="C4" s="14" t="inlineStr">
        <is>
          <t>資源盤點、任務盤點</t>
        </is>
      </c>
      <c r="D4" s="14" t="inlineStr">
        <is>
          <t>專案運營</t>
        </is>
      </c>
      <c r="E4" s="14" t="inlineStr">
        <is>
          <t>運營核心節點預測/規劃</t>
        </is>
      </c>
      <c r="F4" s="17" t="inlineStr">
        <is>
          <t>各項目運營核心節點預測/規劃</t>
        </is>
      </c>
      <c r="G4" s="14" t="inlineStr">
        <is>
          <t>9.11-10.10</t>
        </is>
      </c>
      <c r="H4" s="14" t="inlineStr">
        <is>
          <t>專案核心節點確定</t>
        </is>
      </c>
      <c r="I4" s="14" t="inlineStr">
        <is>
          <t>杜總、梁總、盧總</t>
        </is>
      </c>
      <c r="J4" s="14" t="n"/>
      <c r="K4" s="14" t="inlineStr">
        <is>
          <t>人力企管中心</t>
        </is>
      </c>
      <c r="L4" s="18" t="n"/>
    </row>
    <row r="5" ht="116" customHeight="1" s="139">
      <c r="A5" s="19" t="n">
        <v>3</v>
      </c>
      <c r="B5" s="140" t="n"/>
      <c r="C5" s="140" t="n"/>
      <c r="D5" s="140" t="n"/>
      <c r="E5" s="141" t="n"/>
      <c r="F5" s="20" t="inlineStr">
        <is>
          <t>子公司專案運營核心節點預測/規劃（廣州、上海、南京、杭州）</t>
        </is>
      </c>
      <c r="G5" s="141" t="n"/>
      <c r="H5" s="141" t="n"/>
      <c r="I5" s="20" t="n"/>
      <c r="J5" s="20" t="n"/>
      <c r="K5" s="20" t="inlineStr">
        <is>
          <t>廣州、上海公司、南京公司、杭州公司</t>
        </is>
      </c>
      <c r="L5" s="21" t="n"/>
    </row>
    <row r="6" ht="72.5" customHeight="1" s="139">
      <c r="A6" s="19" t="n">
        <v>4</v>
      </c>
      <c r="B6" s="140" t="n"/>
      <c r="C6" s="140" t="n"/>
      <c r="D6" s="140" t="n"/>
      <c r="E6" s="20" t="inlineStr">
        <is>
          <t>各項目貨量盤點及2012年行銷收入預測；</t>
        </is>
      </c>
      <c r="F6" s="20" t="inlineStr">
        <is>
          <t>1、****專案貨量盤點及2012年行銷收入預測；</t>
        </is>
      </c>
      <c r="G6" s="20" t="inlineStr">
        <is>
          <t>9.11-10.10</t>
        </is>
      </c>
      <c r="H6" s="20" t="n"/>
      <c r="I6" s="20" t="n"/>
      <c r="J6" s="20" t="n"/>
      <c r="K6" s="20" t="inlineStr">
        <is>
          <t>行銷策劃部</t>
        </is>
      </c>
      <c r="L6" s="24" t="inlineStr">
        <is>
          <t>注意：區分已建成物業的抵押解押工作和未建成、未辦預售證但預計可以在2013年入市的</t>
        </is>
      </c>
    </row>
    <row r="7" ht="72.5" customHeight="1" s="139">
      <c r="A7" s="19" t="n">
        <v>5</v>
      </c>
      <c r="B7" s="140" t="n"/>
      <c r="C7" s="140" t="n"/>
      <c r="D7" s="140" t="n"/>
      <c r="E7" s="140" t="n"/>
      <c r="F7" s="20" t="inlineStr">
        <is>
          <t>2、****專案貨量盤點及2012年行銷收入預測；</t>
        </is>
      </c>
      <c r="G7" s="140" t="n"/>
      <c r="H7" s="20" t="n"/>
      <c r="I7" s="20" t="n"/>
      <c r="J7" s="20" t="n"/>
      <c r="K7" s="20" t="inlineStr">
        <is>
          <t>行銷策劃部</t>
        </is>
      </c>
      <c r="L7" s="142" t="n"/>
    </row>
    <row r="8" ht="101.5" customHeight="1" s="139">
      <c r="A8" s="19" t="n">
        <v>6</v>
      </c>
      <c r="B8" s="140" t="n"/>
      <c r="C8" s="140" t="n"/>
      <c r="D8" s="140" t="n"/>
      <c r="E8" s="140" t="n"/>
      <c r="F8" s="20" t="inlineStr">
        <is>
          <t>3、****專案（合作）貨量盤點及2012年行銷收入預測；</t>
        </is>
      </c>
      <c r="G8" s="140" t="n"/>
      <c r="H8" s="20" t="n"/>
      <c r="I8" s="20" t="n"/>
      <c r="J8" s="20" t="n"/>
      <c r="K8" s="20" t="inlineStr">
        <is>
          <t>財務管理中心</t>
        </is>
      </c>
      <c r="L8" s="142" t="n"/>
    </row>
    <row r="9" ht="72.5" customHeight="1" s="139">
      <c r="A9" s="19" t="n">
        <v>7</v>
      </c>
      <c r="B9" s="140" t="n"/>
      <c r="C9" s="140" t="n"/>
      <c r="D9" s="140" t="n"/>
      <c r="E9" s="140" t="n"/>
      <c r="F9" s="20" t="inlineStr">
        <is>
          <t>4、****專案貨量盤點及2012年行銷收入預測；</t>
        </is>
      </c>
      <c r="G9" s="140" t="n"/>
      <c r="H9" s="20" t="n"/>
      <c r="I9" s="20" t="n"/>
      <c r="J9" s="20" t="n"/>
      <c r="K9" s="20" t="n"/>
      <c r="L9" s="142" t="n"/>
    </row>
    <row r="10" ht="72.5" customHeight="1" s="139">
      <c r="A10" s="19" t="n">
        <v>8</v>
      </c>
      <c r="B10" s="140" t="n"/>
      <c r="C10" s="140" t="n"/>
      <c r="D10" s="140" t="n"/>
      <c r="E10" s="140" t="n"/>
      <c r="F10" s="20" t="inlineStr">
        <is>
          <t>5、****專案貨量盤點及2012年行銷收入預測；</t>
        </is>
      </c>
      <c r="G10" s="140" t="n"/>
      <c r="H10" s="20" t="n"/>
      <c r="I10" s="20" t="n"/>
      <c r="J10" s="20" t="n"/>
      <c r="K10" s="20" t="n"/>
      <c r="L10" s="142" t="n"/>
    </row>
    <row r="11" ht="87" customHeight="1" s="139">
      <c r="A11" s="19" t="n">
        <v>9</v>
      </c>
      <c r="B11" s="140" t="n"/>
      <c r="C11" s="140" t="n"/>
      <c r="D11" s="140" t="n"/>
      <c r="E11" s="140" t="n"/>
      <c r="F11" s="20" t="inlineStr">
        <is>
          <t>6、南京公司貨量盤點及2012年行銷收入預測；</t>
        </is>
      </c>
      <c r="G11" s="140" t="n"/>
      <c r="H11" s="20" t="n"/>
      <c r="I11" s="20" t="n"/>
      <c r="J11" s="20" t="n"/>
      <c r="K11" s="20" t="inlineStr">
        <is>
          <t>南京公司</t>
        </is>
      </c>
      <c r="L11" s="142" t="n"/>
    </row>
    <row r="12" ht="87" customHeight="1" s="139">
      <c r="A12" s="19" t="n">
        <v>10</v>
      </c>
      <c r="B12" s="140" t="n"/>
      <c r="C12" s="140" t="n"/>
      <c r="D12" s="141" t="n"/>
      <c r="E12" s="141" t="n"/>
      <c r="F12" s="20" t="inlineStr">
        <is>
          <t>7、杭州公司貨量盤點及2012年行銷收入預測；</t>
        </is>
      </c>
      <c r="G12" s="141" t="n"/>
      <c r="H12" s="20" t="n"/>
      <c r="I12" s="20" t="n"/>
      <c r="J12" s="20" t="n"/>
      <c r="K12" s="20" t="inlineStr">
        <is>
          <t>杭州公司</t>
        </is>
      </c>
      <c r="L12" s="143" t="n"/>
    </row>
    <row r="13" ht="145" customHeight="1" s="139">
      <c r="A13" s="19" t="n">
        <v>11</v>
      </c>
      <c r="B13" s="140" t="n"/>
      <c r="C13" s="140" t="n"/>
      <c r="D13" s="20" t="inlineStr">
        <is>
          <t>土地拓展</t>
        </is>
      </c>
      <c r="E13" s="20" t="inlineStr">
        <is>
          <t>2012年公司儲備土地及儲備專案</t>
        </is>
      </c>
      <c r="F13" s="20" t="inlineStr">
        <is>
          <t>1、長三角區域儲備土地及儲備專案情況
2、珠三角區域儲備土地及儲備專案情況</t>
        </is>
      </c>
      <c r="G13" s="20" t="inlineStr">
        <is>
          <t>9.11-10.10</t>
        </is>
      </c>
      <c r="H13" s="20" t="n"/>
      <c r="I13" s="20" t="n"/>
      <c r="J13" s="20" t="n"/>
      <c r="K13" s="20" t="inlineStr">
        <is>
          <t>財務管理中心、開發部</t>
        </is>
      </c>
      <c r="L13" s="24" t="n"/>
    </row>
    <row r="14" ht="188.5" customHeight="1" s="139">
      <c r="A14" s="19" t="n">
        <v>12</v>
      </c>
      <c r="B14" s="140" t="n"/>
      <c r="C14" s="140" t="n"/>
      <c r="D14" s="20" t="inlineStr">
        <is>
          <t>財務狀況</t>
        </is>
      </c>
      <c r="E14" s="20" t="inlineStr">
        <is>
          <t>集團及各子公司財務狀況分析</t>
        </is>
      </c>
      <c r="F14" s="20" t="inlineStr">
        <is>
          <t>1、年度投資執行情況、現金流狀況、財務費用支出情況
2、金融市場政策及趨勢預測、資金需求初步預測等</t>
        </is>
      </c>
      <c r="G14" s="20" t="inlineStr">
        <is>
          <t>9.11-10.10</t>
        </is>
      </c>
      <c r="H14" s="20" t="n"/>
      <c r="I14" s="20" t="n"/>
      <c r="J14" s="20" t="n"/>
      <c r="K14" s="20" t="inlineStr">
        <is>
          <t>財務管理中心</t>
        </is>
      </c>
      <c r="L14" s="24" t="n"/>
    </row>
    <row r="15" ht="116" customHeight="1" s="139">
      <c r="A15" s="19" t="n">
        <v>13</v>
      </c>
      <c r="B15" s="140" t="n"/>
      <c r="C15" s="140" t="n"/>
      <c r="D15" s="141" t="n"/>
      <c r="E15" s="141" t="n"/>
      <c r="F15" s="20" t="inlineStr">
        <is>
          <t>1、歷年集團及各子公司財務分析數據積累；
2、編制全套預算表格；</t>
        </is>
      </c>
      <c r="G15" s="20" t="inlineStr">
        <is>
          <t>9.11-10.10</t>
        </is>
      </c>
      <c r="H15" s="20" t="n"/>
      <c r="I15" s="20" t="n"/>
      <c r="J15" s="20" t="n"/>
      <c r="K15" s="141" t="n"/>
      <c r="L15" s="24" t="n"/>
    </row>
    <row r="16" ht="145" customHeight="1" s="139">
      <c r="A16" s="19" t="n">
        <v>14</v>
      </c>
      <c r="B16" s="140" t="n"/>
      <c r="C16" s="140" t="n"/>
      <c r="D16" s="20" t="inlineStr">
        <is>
          <t>商業運作</t>
        </is>
      </c>
      <c r="E16" s="20" t="inlineStr">
        <is>
          <t>商鋪盤點及商業收入預測</t>
        </is>
      </c>
      <c r="F16" s="20" t="inlineStr">
        <is>
          <t>1、四季度商業收入預測及2013年可出租物業盤點
2、2013年商業發展趨勢分析</t>
        </is>
      </c>
      <c r="G16" s="20" t="inlineStr">
        <is>
          <t>9.11-10.10</t>
        </is>
      </c>
      <c r="H16" s="20" t="n"/>
      <c r="I16" s="20" t="n"/>
      <c r="J16" s="20" t="n"/>
      <c r="K16" s="20" t="inlineStr">
        <is>
          <t>商業發展部</t>
        </is>
      </c>
      <c r="L16" s="24" t="n"/>
    </row>
    <row r="17" ht="72.5" customHeight="1" s="139">
      <c r="A17" s="19" t="n">
        <v>15</v>
      </c>
      <c r="B17" s="140" t="n"/>
      <c r="C17" s="140" t="n"/>
      <c r="D17" s="20" t="inlineStr">
        <is>
          <t>人力資源</t>
        </is>
      </c>
      <c r="E17" s="20" t="inlineStr">
        <is>
          <t>集團及各子公司人力資源分析</t>
        </is>
      </c>
      <c r="F17" s="20" t="inlineStr">
        <is>
          <t>1、人力資源配置分析
2、人力成本分析</t>
        </is>
      </c>
      <c r="G17" s="20" t="inlineStr">
        <is>
          <t>9.11-10.10</t>
        </is>
      </c>
      <c r="H17" s="20" t="n"/>
      <c r="I17" s="20" t="n"/>
      <c r="J17" s="20" t="n"/>
      <c r="K17" s="20" t="inlineStr">
        <is>
          <t>人力企管中心</t>
        </is>
      </c>
      <c r="L17" s="24" t="n"/>
    </row>
    <row r="18" ht="159.5" customHeight="1" s="139">
      <c r="A18" s="19" t="n">
        <v>16</v>
      </c>
      <c r="B18" s="140" t="n"/>
      <c r="C18" s="140" t="n"/>
      <c r="D18" s="20" t="inlineStr">
        <is>
          <t>經營成果預測</t>
        </is>
      </c>
      <c r="E18" s="20" t="inlineStr">
        <is>
          <t>2012年子公司經營成果預測</t>
        </is>
      </c>
      <c r="F18" s="20" t="inlineStr">
        <is>
          <t>子公司財務報表，子公司分專案損益表。財務分析：盈利能力、營運能力、償債能力分析等。</t>
        </is>
      </c>
      <c r="G18" s="20" t="inlineStr">
        <is>
          <t>10.11-10.15</t>
        </is>
      </c>
      <c r="H18" s="20" t="n"/>
      <c r="I18" s="20" t="n"/>
      <c r="J18" s="20" t="n"/>
      <c r="K18" s="20" t="inlineStr">
        <is>
          <t>南京、杭州公司</t>
        </is>
      </c>
      <c r="L18" s="24" t="n"/>
    </row>
    <row r="19" ht="203" customHeight="1" s="139">
      <c r="A19" s="19" t="n">
        <v>17</v>
      </c>
      <c r="B19" s="140" t="n"/>
      <c r="C19" s="141" t="n"/>
      <c r="D19" s="141" t="n"/>
      <c r="E19" s="20" t="inlineStr">
        <is>
          <t>2012年集團經營成果預測</t>
        </is>
      </c>
      <c r="F19" s="20" t="inlineStr">
        <is>
          <t>2012年經營成果預測、財務報表。（包括對各項財務指標的總結：利潤率、投資收益率、現金流分析、成本費用分析等）</t>
        </is>
      </c>
      <c r="G19" s="20" t="inlineStr">
        <is>
          <t>10.15-10.20</t>
        </is>
      </c>
      <c r="H19" s="20" t="n"/>
      <c r="I19" s="20" t="n"/>
      <c r="J19" s="20" t="n"/>
      <c r="K19" s="20" t="inlineStr">
        <is>
          <t>財務管理中心</t>
        </is>
      </c>
      <c r="L19" s="24" t="n"/>
    </row>
    <row r="20" ht="58" customHeight="1" s="139">
      <c r="A20" s="19" t="n">
        <v>18</v>
      </c>
      <c r="B20" s="140" t="n"/>
      <c r="C20" s="28" t="inlineStr">
        <is>
          <t>能力盤點</t>
        </is>
      </c>
      <c r="D20" s="20" t="inlineStr">
        <is>
          <t>集團核心能力</t>
        </is>
      </c>
      <c r="E20" s="20" t="inlineStr">
        <is>
          <t>三大核心競爭力及能力短板</t>
        </is>
      </c>
      <c r="F20" s="20" t="inlineStr">
        <is>
          <t>集團經營管理SWOT分析報告</t>
        </is>
      </c>
      <c r="G20" s="20" t="inlineStr">
        <is>
          <t>10.11-10.20</t>
        </is>
      </c>
      <c r="H20" s="20" t="inlineStr">
        <is>
          <t>核心競爭力分析，能力瓶頸分析</t>
        </is>
      </c>
      <c r="I20" s="20" t="n"/>
      <c r="J20" s="20" t="n"/>
      <c r="K20" s="20" t="inlineStr">
        <is>
          <t>人力企管中心</t>
        </is>
      </c>
      <c r="L20" s="24" t="n"/>
    </row>
    <row r="21" ht="58" customHeight="1" s="139">
      <c r="A21" s="30" t="n">
        <v>19</v>
      </c>
      <c r="B21" s="144" t="n"/>
      <c r="C21" s="144" t="n"/>
      <c r="D21" s="28" t="inlineStr">
        <is>
          <t>子公司能力分析</t>
        </is>
      </c>
      <c r="E21" s="28" t="inlineStr">
        <is>
          <t>核心能力及能力短板</t>
        </is>
      </c>
      <c r="F21" s="28" t="inlineStr">
        <is>
          <t>經營管理SWOT分析報告</t>
        </is>
      </c>
      <c r="G21" s="28" t="inlineStr">
        <is>
          <t>10.11-10.20</t>
        </is>
      </c>
      <c r="H21" s="28" t="inlineStr">
        <is>
          <t>核心競爭力分析，能力瓶頸分析</t>
        </is>
      </c>
      <c r="I21" s="28" t="n"/>
      <c r="J21" s="28" t="n"/>
      <c r="K21" s="28" t="inlineStr">
        <is>
          <t>南京</t>
        </is>
      </c>
      <c r="L21" s="31" t="n"/>
    </row>
    <row r="22" ht="130.5" customHeight="1" s="139">
      <c r="A22" s="10" t="n">
        <v>20</v>
      </c>
      <c r="B22" s="12" t="inlineStr">
        <is>
          <t>市場趨勢研判</t>
        </is>
      </c>
      <c r="C22" s="14" t="inlineStr">
        <is>
          <t>外部因素</t>
        </is>
      </c>
      <c r="D22" s="14" t="inlineStr">
        <is>
          <t>外部環境（政策、宏觀經濟、行業週期、各區域市場、競爭情況）</t>
        </is>
      </c>
      <c r="E22" s="14" t="inlineStr">
        <is>
          <t>外部環境分析研判</t>
        </is>
      </c>
      <c r="F22" s="14" t="inlineStr">
        <is>
          <t>2013年房地產市場大勢預測（含東莞、廣州、南京、上海、杭州、彬州等地區）</t>
        </is>
      </c>
      <c r="G22" s="14" t="inlineStr">
        <is>
          <t>10.11-10.20</t>
        </is>
      </c>
      <c r="H22" s="14" t="inlineStr">
        <is>
          <t>行業週期規律研判</t>
        </is>
      </c>
      <c r="I22" s="14" t="n"/>
      <c r="J22" s="14" t="n"/>
      <c r="K22" s="14" t="inlineStr">
        <is>
          <t>行銷策劃部</t>
        </is>
      </c>
      <c r="L22" s="32" t="n"/>
    </row>
    <row r="23" ht="116" customHeight="1" s="139">
      <c r="A23" s="33" t="n">
        <v>21</v>
      </c>
      <c r="B23" s="140" t="n"/>
      <c r="C23" s="34" t="inlineStr">
        <is>
          <t>應對策略</t>
        </is>
      </c>
      <c r="D23" s="145" t="n"/>
      <c r="E23" s="36" t="inlineStr">
        <is>
          <t>資源策略與各專業分項策略</t>
        </is>
      </c>
      <c r="F23" s="36" t="inlineStr">
        <is>
          <t>2013年土地策略意向、資金、人力資源、各專業策略；</t>
        </is>
      </c>
      <c r="G23" s="34" t="inlineStr">
        <is>
          <t>10.11-10.20</t>
        </is>
      </c>
      <c r="H23" s="34" t="inlineStr">
        <is>
          <t>土地策略、資金策略、人才策略是重點，其他如成本、設計、行銷為輔；</t>
        </is>
      </c>
      <c r="I23" s="34" t="n"/>
      <c r="J23" s="34" t="n"/>
      <c r="K23" s="34" t="inlineStr">
        <is>
          <t>財務管理中心、人力企管中心、行銷管理中心</t>
        </is>
      </c>
      <c r="L23" s="37" t="n"/>
    </row>
    <row r="24" ht="101.5" customHeight="1" s="139">
      <c r="A24" s="38" t="n">
        <v>22</v>
      </c>
      <c r="B24" s="7" t="inlineStr">
        <is>
          <t>戰略檢討與指引</t>
        </is>
      </c>
      <c r="C24" s="40" t="inlineStr">
        <is>
          <t>總結與檢討</t>
        </is>
      </c>
      <c r="D24" s="146" t="n"/>
      <c r="E24" s="40" t="inlineStr">
        <is>
          <t>部門、子公司工作總結及分析</t>
        </is>
      </c>
      <c r="F24" s="40" t="inlineStr">
        <is>
          <t xml:space="preserve">發掘各部門/公司經營管理短板，並形成短板清單及行動方案。 </t>
        </is>
      </c>
      <c r="G24" s="40" t="inlineStr">
        <is>
          <t>10.11-10.20</t>
        </is>
      </c>
      <c r="H24" s="40" t="n"/>
      <c r="I24" s="40" t="n"/>
      <c r="J24" s="40" t="n"/>
      <c r="K24" s="40" t="inlineStr">
        <is>
          <t>各部門</t>
        </is>
      </c>
      <c r="L24" s="43" t="n"/>
    </row>
    <row r="25" ht="116" customHeight="1" s="139">
      <c r="A25" s="30" t="n">
        <v>23</v>
      </c>
      <c r="B25" s="144" t="n"/>
      <c r="C25" s="28" t="inlineStr">
        <is>
          <t>戰略檢討及對2013年的指引</t>
        </is>
      </c>
      <c r="D25" s="147" t="n"/>
      <c r="E25" s="28" t="inlineStr">
        <is>
          <t>根據公司的經營成果預測及發展思路，自上而下形成年度經營目標。</t>
        </is>
      </c>
      <c r="F25" s="28" t="inlineStr">
        <is>
          <t>2013年經營目標</t>
        </is>
      </c>
      <c r="G25" s="28" t="inlineStr">
        <is>
          <t>10.21-10.31</t>
        </is>
      </c>
      <c r="H25" s="28" t="inlineStr">
        <is>
          <t>判大勢、盤家底、找差距、謀策略</t>
        </is>
      </c>
      <c r="I25" s="28" t="n"/>
      <c r="J25" s="28" t="n"/>
      <c r="K25" s="28" t="inlineStr">
        <is>
          <t>預算委員會報董事會審批</t>
        </is>
      </c>
      <c r="L25" s="31" t="n"/>
    </row>
    <row r="26" ht="72.5" customHeight="1" s="139">
      <c r="A26" s="10" t="n">
        <v>24</v>
      </c>
      <c r="B26" s="12" t="inlineStr">
        <is>
          <t>目標計畫與預算編制</t>
        </is>
      </c>
      <c r="C26" s="14" t="n"/>
      <c r="D26" s="46" t="inlineStr">
        <is>
          <t>集團及東莞地產公司各部門2013年度計畫及公司2013年年度經營目標計畫初稿</t>
        </is>
      </c>
      <c r="E26" s="14" t="inlineStr">
        <is>
          <t>專案拓展計畫及預算</t>
        </is>
      </c>
      <c r="F26" s="14" t="inlineStr">
        <is>
          <t>編制目標城市、目標地塊清單、土地拓展計畫</t>
        </is>
      </c>
      <c r="G26" s="14" t="inlineStr">
        <is>
          <t>11.1-11.10</t>
        </is>
      </c>
      <c r="H26" s="14" t="inlineStr">
        <is>
          <t>在土地策略的指引下，制定土地拓展計畫</t>
        </is>
      </c>
      <c r="I26" s="14" t="n"/>
      <c r="J26" s="14" t="n"/>
      <c r="K26" s="14" t="inlineStr">
        <is>
          <t>財務管理中心、開發部</t>
        </is>
      </c>
      <c r="L26" s="32" t="inlineStr">
        <is>
          <t>①以目標宗地的評估價格資訊為依據
②以拆遷補償協議及與土地方的合作協議為依據</t>
        </is>
      </c>
    </row>
    <row r="27" ht="101.5" customHeight="1" s="139">
      <c r="A27" s="19" t="n">
        <v>25</v>
      </c>
      <c r="B27" s="140" t="n"/>
      <c r="C27" s="140" t="n"/>
      <c r="D27" s="140" t="n"/>
      <c r="E27" s="140" t="n"/>
      <c r="F27" s="20" t="inlineStr">
        <is>
          <t>編制擬獲取土地資金需求預算，儘量明確獲取主體、需求時間等</t>
        </is>
      </c>
      <c r="G27" s="20" t="inlineStr">
        <is>
          <t>11.1-11.10</t>
        </is>
      </c>
      <c r="H27" s="20" t="n"/>
      <c r="I27" s="20" t="n"/>
      <c r="J27" s="140" t="n"/>
      <c r="K27" s="140" t="n"/>
      <c r="L27" s="143" t="n"/>
    </row>
    <row r="28" ht="72.5" customHeight="1" s="139">
      <c r="A28" s="19" t="n">
        <v>26</v>
      </c>
      <c r="B28" s="140" t="n"/>
      <c r="C28" s="140" t="n"/>
      <c r="D28" s="140" t="n"/>
      <c r="E28" s="141" t="n"/>
      <c r="F28" s="20" t="inlineStr">
        <is>
          <t>編制部門工作計畫及費用預算報人力企管中心</t>
        </is>
      </c>
      <c r="G28" s="20" t="inlineStr">
        <is>
          <t>11.1-11.10</t>
        </is>
      </c>
      <c r="H28" s="20" t="n"/>
      <c r="I28" s="20" t="n"/>
      <c r="J28" s="141" t="n"/>
      <c r="K28" s="141" t="n"/>
      <c r="L28" s="24" t="n"/>
    </row>
    <row r="29" ht="58" customHeight="1" s="139">
      <c r="A29" s="19" t="n">
        <v>27</v>
      </c>
      <c r="B29" s="140" t="n"/>
      <c r="C29" s="140" t="n"/>
      <c r="D29" s="140" t="n"/>
      <c r="E29" s="20" t="inlineStr">
        <is>
          <t>專案開發計畫編制</t>
        </is>
      </c>
      <c r="F29" s="20" t="inlineStr">
        <is>
          <t>等專案的開發計畫2013年度的編制</t>
        </is>
      </c>
      <c r="G29" s="20" t="inlineStr">
        <is>
          <t>10.21-10.31</t>
        </is>
      </c>
      <c r="H29" s="20" t="n"/>
      <c r="I29" s="20" t="n"/>
      <c r="J29" s="20" t="n"/>
      <c r="K29" s="20" t="inlineStr">
        <is>
          <t>人力企管中心</t>
        </is>
      </c>
      <c r="L29" s="24" t="n"/>
    </row>
    <row r="30" ht="58" customHeight="1" s="139">
      <c r="A30" s="19" t="n">
        <v>28</v>
      </c>
      <c r="B30" s="140" t="n"/>
      <c r="C30" s="140" t="n"/>
      <c r="D30" s="140" t="n"/>
      <c r="E30" s="141" t="n"/>
      <c r="F30" s="20" t="inlineStr">
        <is>
          <t>子公司專案開發計畫2013年度的編制</t>
        </is>
      </c>
      <c r="G30" s="20" t="inlineStr">
        <is>
          <t>10.21-10.31</t>
        </is>
      </c>
      <c r="H30" s="20" t="n"/>
      <c r="I30" s="20" t="n"/>
      <c r="J30" s="20" t="n"/>
      <c r="K30" s="20" t="inlineStr">
        <is>
          <t>上海公司、南京公司、杭州公司</t>
        </is>
      </c>
      <c r="L30" s="24" t="n"/>
    </row>
    <row r="31" ht="58" customHeight="1" s="139">
      <c r="A31" s="19" t="n">
        <v>29</v>
      </c>
      <c r="B31" s="140" t="n"/>
      <c r="C31" s="140" t="n"/>
      <c r="D31" s="140" t="n"/>
      <c r="E31" s="20" t="inlineStr">
        <is>
          <t>設計計畫及預算</t>
        </is>
      </c>
      <c r="F31" s="20" t="inlineStr">
        <is>
          <t>根據開發計畫完成各項目設計計畫</t>
        </is>
      </c>
      <c r="G31" s="20" t="inlineStr">
        <is>
          <t>11.1-11.10</t>
        </is>
      </c>
      <c r="H31" s="20" t="n"/>
      <c r="I31" s="20" t="n"/>
      <c r="J31" s="20" t="n"/>
      <c r="K31" s="20" t="inlineStr">
        <is>
          <t>規劃設計部</t>
        </is>
      </c>
      <c r="L31" s="24" t="n"/>
    </row>
    <row r="32" ht="58" customHeight="1" s="139">
      <c r="A32" s="19" t="n">
        <v>30</v>
      </c>
      <c r="B32" s="140" t="n"/>
      <c r="C32" s="140" t="n"/>
      <c r="D32" s="140" t="n"/>
      <c r="E32" s="140" t="n"/>
      <c r="F32" s="20" t="inlineStr">
        <is>
          <t>根據設計計畫編制設計費用預算表</t>
        </is>
      </c>
      <c r="G32" s="20" t="inlineStr">
        <is>
          <t>11.1-11.10</t>
        </is>
      </c>
      <c r="H32" s="20" t="n"/>
      <c r="I32" s="20" t="n"/>
      <c r="J32" s="140" t="n"/>
      <c r="K32" s="140" t="n"/>
      <c r="L32" s="24" t="n"/>
    </row>
    <row r="33" ht="72.5" customHeight="1" s="139">
      <c r="A33" s="19" t="n">
        <v>31</v>
      </c>
      <c r="B33" s="140" t="n"/>
      <c r="C33" s="140" t="n"/>
      <c r="D33" s="140" t="n"/>
      <c r="E33" s="141" t="n"/>
      <c r="F33" s="20" t="inlineStr">
        <is>
          <t>編制部門工作計畫及費用預算報人力企管中心</t>
        </is>
      </c>
      <c r="G33" s="20" t="inlineStr">
        <is>
          <t>11.1-11.10</t>
        </is>
      </c>
      <c r="H33" s="20" t="n"/>
      <c r="I33" s="20" t="n"/>
      <c r="J33" s="141" t="n"/>
      <c r="K33" s="141" t="n"/>
      <c r="L33" s="24" t="n"/>
    </row>
    <row r="34" ht="58" customHeight="1" s="139">
      <c r="A34" s="19" t="n">
        <v>32</v>
      </c>
      <c r="B34" s="140" t="n"/>
      <c r="C34" s="140" t="n"/>
      <c r="D34" s="140" t="n"/>
      <c r="E34" s="20" t="inlineStr">
        <is>
          <t>施工計畫及預算</t>
        </is>
      </c>
      <c r="F34" s="20" t="inlineStr">
        <is>
          <t>根據開發計畫完成各項目施工計畫</t>
        </is>
      </c>
      <c r="G34" s="20" t="inlineStr">
        <is>
          <t>11.1-11.10</t>
        </is>
      </c>
      <c r="H34" s="20" t="n"/>
      <c r="I34" s="20" t="n"/>
      <c r="J34" s="20" t="n"/>
      <c r="K34" s="20" t="inlineStr">
        <is>
          <t>工程管理部</t>
        </is>
      </c>
      <c r="L34" s="24" t="n"/>
    </row>
    <row r="35" ht="58" customHeight="1" s="139">
      <c r="A35" s="19" t="n">
        <v>33</v>
      </c>
      <c r="B35" s="140" t="n"/>
      <c r="C35" s="140" t="n"/>
      <c r="D35" s="140" t="n"/>
      <c r="E35" s="140" t="n"/>
      <c r="F35" s="20" t="inlineStr">
        <is>
          <t>根據施工計畫編制工程款需求計畫</t>
        </is>
      </c>
      <c r="G35" s="20" t="inlineStr">
        <is>
          <t>11.1-11.10</t>
        </is>
      </c>
      <c r="H35" s="20" t="n"/>
      <c r="I35" s="20" t="n"/>
      <c r="J35" s="140" t="n"/>
      <c r="K35" s="140" t="n"/>
      <c r="L35" s="24" t="n"/>
    </row>
    <row r="36" ht="72.5" customHeight="1" s="139">
      <c r="A36" s="19" t="n">
        <v>34</v>
      </c>
      <c r="B36" s="140" t="n"/>
      <c r="C36" s="140" t="n"/>
      <c r="D36" s="140" t="n"/>
      <c r="E36" s="141" t="n"/>
      <c r="F36" s="20" t="inlineStr">
        <is>
          <t>編制部門工作計畫及費用預算報人力企管中心</t>
        </is>
      </c>
      <c r="G36" s="20" t="inlineStr">
        <is>
          <t>11.1-11.10</t>
        </is>
      </c>
      <c r="H36" s="20" t="n"/>
      <c r="I36" s="20" t="n"/>
      <c r="J36" s="141" t="n"/>
      <c r="K36" s="141" t="n"/>
      <c r="L36" s="24" t="n"/>
    </row>
    <row r="37" ht="58" customHeight="1" s="139">
      <c r="A37" s="19" t="n">
        <v>35</v>
      </c>
      <c r="B37" s="140" t="n"/>
      <c r="C37" s="140" t="n"/>
      <c r="D37" s="140" t="n"/>
      <c r="E37" s="47" t="inlineStr">
        <is>
          <t>前期開發費用預算</t>
        </is>
      </c>
      <c r="F37" s="20" t="inlineStr">
        <is>
          <t>完成各項目前期開發費用預算表</t>
        </is>
      </c>
      <c r="G37" s="20" t="inlineStr">
        <is>
          <t>11.1-11.10</t>
        </is>
      </c>
      <c r="H37" s="20" t="n"/>
      <c r="I37" s="20" t="n"/>
      <c r="J37" s="20" t="n"/>
      <c r="K37" s="20" t="inlineStr">
        <is>
          <t>成本管理部</t>
        </is>
      </c>
      <c r="L37" s="24" t="n"/>
    </row>
    <row r="38" ht="188.5" customHeight="1" s="139">
      <c r="A38" s="19" t="n">
        <v>36</v>
      </c>
      <c r="B38" s="140" t="n"/>
      <c r="C38" s="140" t="n"/>
      <c r="D38" s="140" t="n"/>
      <c r="E38" s="20" t="inlineStr">
        <is>
          <t>年度開發成本預算</t>
        </is>
      </c>
      <c r="F38" s="20" t="inlineStr">
        <is>
          <t>根據目前合同執行,工程進度等判斷所有專案的目標動態成本的控制情況，預測或預警專案目標成本可能的重大變動</t>
        </is>
      </c>
      <c r="G38" s="20" t="inlineStr">
        <is>
          <t>11.1-11.10</t>
        </is>
      </c>
      <c r="H38" s="20" t="inlineStr">
        <is>
          <t>在成本策略的指引下，編制成本計畫與預算；</t>
        </is>
      </c>
      <c r="I38" s="20" t="n"/>
      <c r="J38" s="20" t="n"/>
      <c r="K38" s="20" t="inlineStr">
        <is>
          <t>成本管理部</t>
        </is>
      </c>
      <c r="L38" s="24" t="n"/>
    </row>
    <row r="39" ht="116" customHeight="1" s="139">
      <c r="A39" s="19" t="n">
        <v>37</v>
      </c>
      <c r="B39" s="140" t="n"/>
      <c r="C39" s="140" t="n"/>
      <c r="D39" s="140" t="n"/>
      <c r="E39" s="140" t="n"/>
      <c r="F39" s="20" t="inlineStr">
        <is>
          <t>根據各項目開發計畫分別編制或修改各項目的合同規劃、招投標計畫</t>
        </is>
      </c>
      <c r="G39" s="20" t="inlineStr">
        <is>
          <t>11.1-11.10</t>
        </is>
      </c>
      <c r="H39" s="20" t="n"/>
      <c r="I39" s="20" t="n"/>
      <c r="J39" s="140" t="n"/>
      <c r="K39" s="140" t="n"/>
      <c r="L39" s="24" t="n"/>
    </row>
    <row r="40" ht="116" customHeight="1" s="139">
      <c r="A40" s="19" t="n">
        <v>38</v>
      </c>
      <c r="B40" s="140" t="n"/>
      <c r="C40" s="140" t="n"/>
      <c r="D40" s="140" t="n"/>
      <c r="E40" s="140" t="n"/>
      <c r="F40" s="20" t="inlineStr">
        <is>
          <t>根據開發計畫和開發部提交的開發費用預算匯總編入專案開發成本預算</t>
        </is>
      </c>
      <c r="G40" s="20" t="inlineStr">
        <is>
          <t>11.1-11.10</t>
        </is>
      </c>
      <c r="H40" s="20" t="n"/>
      <c r="I40" s="20" t="n"/>
      <c r="J40" s="140" t="n"/>
      <c r="K40" s="140" t="n"/>
      <c r="L40" s="24" t="n"/>
    </row>
    <row r="41" ht="116" customHeight="1" s="139">
      <c r="A41" s="19" t="n">
        <v>39</v>
      </c>
      <c r="B41" s="140" t="n"/>
      <c r="C41" s="140" t="n"/>
      <c r="D41" s="140" t="n"/>
      <c r="E41" s="140" t="n"/>
      <c r="F41" s="20" t="inlineStr">
        <is>
          <t>根據設計計畫和設計部提交的設計費用預算匯總編入專案開發成本預算</t>
        </is>
      </c>
      <c r="G41" s="20" t="inlineStr">
        <is>
          <t>11.1-11.10</t>
        </is>
      </c>
      <c r="H41" s="20" t="n"/>
      <c r="I41" s="20" t="n"/>
      <c r="J41" s="140" t="n"/>
      <c r="K41" s="140" t="n"/>
      <c r="L41" s="24" t="n"/>
    </row>
    <row r="42" ht="116" customHeight="1" s="139">
      <c r="A42" s="19" t="n">
        <v>40</v>
      </c>
      <c r="B42" s="140" t="n"/>
      <c r="C42" s="140" t="n"/>
      <c r="D42" s="140" t="n"/>
      <c r="E42" s="140" t="n"/>
      <c r="F42" s="20" t="inlineStr">
        <is>
          <t>根據施工計畫和工程部提交的工程款預算匯總編入專案開發成本預算</t>
        </is>
      </c>
      <c r="G42" s="20" t="inlineStr">
        <is>
          <t>11.1-11.10</t>
        </is>
      </c>
      <c r="H42" s="20" t="n"/>
      <c r="I42" s="20" t="n"/>
      <c r="J42" s="140" t="n"/>
      <c r="K42" s="140" t="n"/>
      <c r="L42" s="24" t="n"/>
    </row>
    <row r="43" ht="43.5" customHeight="1" s="139">
      <c r="A43" s="19" t="n">
        <v>41</v>
      </c>
      <c r="B43" s="140" t="n"/>
      <c r="C43" s="140" t="n"/>
      <c r="D43" s="140" t="n"/>
      <c r="E43" s="140" t="n"/>
      <c r="F43" s="20" t="inlineStr">
        <is>
          <t>完成各項目的開發成本預算</t>
        </is>
      </c>
      <c r="G43" s="20" t="inlineStr">
        <is>
          <t>11.1-11.10</t>
        </is>
      </c>
      <c r="H43" s="20" t="n"/>
      <c r="I43" s="20" t="n"/>
      <c r="J43" s="140" t="n"/>
      <c r="K43" s="140" t="n"/>
      <c r="L43" s="24" t="n"/>
    </row>
    <row r="44" ht="87" customHeight="1" s="139">
      <c r="A44" s="19" t="n">
        <v>42</v>
      </c>
      <c r="B44" s="140" t="n"/>
      <c r="C44" s="140" t="n"/>
      <c r="D44" s="140" t="n"/>
      <c r="E44" s="141" t="n"/>
      <c r="F44" s="20" t="inlineStr">
        <is>
          <t>編制部門工作計畫及費用預算報人力及企管中心</t>
        </is>
      </c>
      <c r="G44" s="20" t="inlineStr">
        <is>
          <t>11.1-11.10</t>
        </is>
      </c>
      <c r="H44" s="20" t="n"/>
      <c r="I44" s="20" t="n"/>
      <c r="J44" s="141" t="n"/>
      <c r="K44" s="141" t="n"/>
      <c r="L44" s="24" t="n"/>
    </row>
    <row r="45" ht="87" customHeight="1" s="139">
      <c r="A45" s="19" t="n">
        <v>43</v>
      </c>
      <c r="B45" s="140" t="n"/>
      <c r="C45" s="140" t="n"/>
      <c r="D45" s="140" t="n"/>
      <c r="E45" s="20" t="inlineStr">
        <is>
          <t>銷售收入</t>
        </is>
      </c>
      <c r="F45" s="20" t="inlineStr">
        <is>
          <t>根據存貨情況或專案開發計畫分別編制各項目行銷計畫</t>
        </is>
      </c>
      <c r="G45" s="20" t="inlineStr">
        <is>
          <t>11.1-11.10</t>
        </is>
      </c>
      <c r="H45" s="20" t="inlineStr">
        <is>
          <t>在資金策略的指引下，制定行銷計畫</t>
        </is>
      </c>
      <c r="I45" s="20" t="n"/>
      <c r="J45" s="20" t="n"/>
      <c r="K45" s="20" t="inlineStr">
        <is>
          <t>行銷策劃部</t>
        </is>
      </c>
      <c r="L45" s="24" t="n"/>
    </row>
    <row r="46" ht="58" customHeight="1" s="139">
      <c r="A46" s="19" t="n">
        <v>44</v>
      </c>
      <c r="B46" s="140" t="n"/>
      <c r="C46" s="140" t="n"/>
      <c r="D46" s="140" t="n"/>
      <c r="E46" s="140" t="n"/>
      <c r="F46" s="20" t="inlineStr">
        <is>
          <t>完成銷售面積及及計畫價表單</t>
        </is>
      </c>
      <c r="G46" s="20" t="inlineStr">
        <is>
          <t>11.1-11.10</t>
        </is>
      </c>
      <c r="H46" s="20" t="n"/>
      <c r="I46" s="20" t="n"/>
      <c r="J46" s="140" t="n"/>
      <c r="K46" s="140" t="n"/>
      <c r="L46" s="24" t="n"/>
    </row>
    <row r="47" ht="72.5" customHeight="1" s="139">
      <c r="A47" s="19" t="n">
        <v>45</v>
      </c>
      <c r="B47" s="140" t="n"/>
      <c r="C47" s="140" t="n"/>
      <c r="D47" s="140" t="n"/>
      <c r="E47" s="141" t="n"/>
      <c r="F47" s="20" t="inlineStr">
        <is>
          <t>完成銷售收入預算表單及資金回籠預算表</t>
        </is>
      </c>
      <c r="G47" s="20" t="inlineStr">
        <is>
          <t>11.1-11.10</t>
        </is>
      </c>
      <c r="H47" s="20" t="n"/>
      <c r="I47" s="20" t="n"/>
      <c r="J47" s="140" t="n"/>
      <c r="K47" s="140" t="n"/>
      <c r="L47" s="24" t="n"/>
    </row>
    <row r="48" ht="72.5" customHeight="1" s="139">
      <c r="A48" s="19" t="n">
        <v>46</v>
      </c>
      <c r="B48" s="140" t="n"/>
      <c r="C48" s="140" t="n"/>
      <c r="D48" s="140" t="n"/>
      <c r="E48" s="20" t="inlineStr">
        <is>
          <t>銷售費用</t>
        </is>
      </c>
      <c r="F48" s="20" t="inlineStr">
        <is>
          <t>分公司分專案嚴格按照預算表專案填制</t>
        </is>
      </c>
      <c r="G48" s="20" t="inlineStr">
        <is>
          <t>11.1-11.10</t>
        </is>
      </c>
      <c r="H48" s="20" t="inlineStr">
        <is>
          <t>在行銷策略的指引下編制銷售費用預算</t>
        </is>
      </c>
      <c r="I48" s="20" t="n"/>
      <c r="J48" s="141" t="n"/>
      <c r="K48" s="141" t="n"/>
      <c r="L48" s="24" t="n"/>
    </row>
    <row r="49" ht="58" customHeight="1" s="139">
      <c r="A49" s="19" t="n">
        <v>47</v>
      </c>
      <c r="B49" s="140" t="n"/>
      <c r="C49" s="140" t="n"/>
      <c r="D49" s="140" t="n"/>
      <c r="E49" s="20" t="inlineStr">
        <is>
          <t>人力資源規劃、管理費用及固定資產需求預算</t>
        </is>
      </c>
      <c r="F49" s="20" t="inlineStr">
        <is>
          <t>制定有定額專案的預算定額指標</t>
        </is>
      </c>
      <c r="G49" s="20" t="inlineStr">
        <is>
          <t>11.1-11.10</t>
        </is>
      </c>
      <c r="H49" s="20" t="n"/>
      <c r="I49" s="20" t="n"/>
      <c r="J49" s="20" t="n"/>
      <c r="K49" s="20" t="inlineStr">
        <is>
          <t>人力企管中心</t>
        </is>
      </c>
      <c r="L49" s="24" t="n"/>
    </row>
    <row r="50" ht="72.5" customHeight="1" s="139">
      <c r="A50" s="19" t="n">
        <v>48</v>
      </c>
      <c r="B50" s="140" t="n"/>
      <c r="C50" s="140" t="n"/>
      <c r="D50" s="140" t="n"/>
      <c r="E50" s="140" t="n"/>
      <c r="F50" s="20" t="inlineStr">
        <is>
          <t>2013年人力資源規劃</t>
        </is>
      </c>
      <c r="G50" s="20" t="inlineStr">
        <is>
          <t>11.1-11.10</t>
        </is>
      </c>
      <c r="H50" s="20" t="inlineStr">
        <is>
          <t>在人才策略的指引下編制人力資源規劃；</t>
        </is>
      </c>
      <c r="I50" s="20" t="n"/>
      <c r="J50" s="140" t="n"/>
      <c r="K50" s="140" t="n"/>
      <c r="L50" s="24" t="n"/>
    </row>
    <row r="51" ht="58" customHeight="1" s="139">
      <c r="A51" s="19" t="n">
        <v>49</v>
      </c>
      <c r="B51" s="140" t="n"/>
      <c r="C51" s="140" t="n"/>
      <c r="D51" s="140" t="n"/>
      <c r="E51" s="140" t="n"/>
      <c r="F51" s="20" t="inlineStr">
        <is>
          <t>編制2013年固定資產需求計畫</t>
        </is>
      </c>
      <c r="G51" s="20" t="inlineStr">
        <is>
          <t>11.1-11.10</t>
        </is>
      </c>
      <c r="H51" s="20" t="n"/>
      <c r="I51" s="20" t="n"/>
      <c r="J51" s="140" t="n"/>
      <c r="K51" s="140" t="n"/>
      <c r="L51" s="24" t="n"/>
    </row>
    <row r="52" ht="43.5" customHeight="1" s="139">
      <c r="A52" s="19" t="n">
        <v>50</v>
      </c>
      <c r="B52" s="140" t="n"/>
      <c r="C52" s="140" t="n"/>
      <c r="D52" s="140" t="n"/>
      <c r="E52" s="140" t="n"/>
      <c r="F52" s="20" t="inlineStr">
        <is>
          <t>編制公司年度經營計畫</t>
        </is>
      </c>
      <c r="G52" s="20" t="inlineStr">
        <is>
          <t>11.1-11.10</t>
        </is>
      </c>
      <c r="H52" s="20" t="n"/>
      <c r="I52" s="20" t="n"/>
      <c r="J52" s="140" t="n"/>
      <c r="K52" s="140" t="n"/>
      <c r="L52" s="24" t="n"/>
    </row>
    <row r="53" ht="87" customHeight="1" s="139">
      <c r="A53" s="19" t="n">
        <v>51</v>
      </c>
      <c r="B53" s="140" t="n"/>
      <c r="C53" s="140" t="n"/>
      <c r="D53" s="140" t="n"/>
      <c r="E53" s="141" t="n"/>
      <c r="F53" s="20" t="inlineStr">
        <is>
          <t>編制公司管理費用預算（含其他部門的管理費）</t>
        </is>
      </c>
      <c r="G53" s="20" t="inlineStr">
        <is>
          <t>11.1-11.10</t>
        </is>
      </c>
      <c r="H53" s="20" t="n"/>
      <c r="I53" s="20" t="n"/>
      <c r="J53" s="141" t="n"/>
      <c r="K53" s="141" t="n"/>
      <c r="L53" s="24" t="n"/>
    </row>
    <row r="54" ht="101.5" customHeight="1" s="139">
      <c r="A54" s="19" t="n">
        <v>52</v>
      </c>
      <c r="B54" s="140" t="n"/>
      <c r="C54" s="140" t="n"/>
      <c r="D54" s="140" t="n"/>
      <c r="E54" s="20" t="inlineStr">
        <is>
          <t>租賃收入</t>
        </is>
      </c>
      <c r="F54" s="20" t="inlineStr">
        <is>
          <t>按專案編制出租率、租賃收入及現金收入預算，並匯總</t>
        </is>
      </c>
      <c r="G54" s="20" t="inlineStr">
        <is>
          <t>11.1-11.10</t>
        </is>
      </c>
      <c r="H54" s="20" t="inlineStr">
        <is>
          <t>在資金策略的指引下，制定租賃招商計畫</t>
        </is>
      </c>
      <c r="I54" s="20" t="n"/>
      <c r="J54" s="20" t="n"/>
      <c r="K54" s="20" t="inlineStr">
        <is>
          <t>商業發展部</t>
        </is>
      </c>
      <c r="L54" s="24" t="n"/>
    </row>
    <row r="55" ht="72.5" customHeight="1" s="139">
      <c r="A55" s="19" t="n">
        <v>53</v>
      </c>
      <c r="B55" s="140" t="n"/>
      <c r="C55" s="140" t="n"/>
      <c r="D55" s="140" t="n"/>
      <c r="E55" s="141" t="n"/>
      <c r="F55" s="20" t="inlineStr">
        <is>
          <t>編制部門工作計畫及費用預算報人力企管中心</t>
        </is>
      </c>
      <c r="G55" s="20" t="inlineStr">
        <is>
          <t>11.1-11.10</t>
        </is>
      </c>
      <c r="H55" s="20" t="n"/>
      <c r="I55" s="20" t="n"/>
      <c r="J55" s="141" t="n"/>
      <c r="K55" s="141" t="n"/>
      <c r="L55" s="24" t="n"/>
    </row>
    <row r="56" ht="29" customHeight="1" s="139">
      <c r="A56" s="19" t="n">
        <v>54</v>
      </c>
      <c r="B56" s="140" t="n"/>
      <c r="C56" s="140" t="n"/>
      <c r="D56" s="140" t="n"/>
      <c r="E56" s="20" t="inlineStr">
        <is>
          <t>稅費預算</t>
        </is>
      </c>
      <c r="F56" s="20" t="inlineStr">
        <is>
          <t>兩稅一費預算</t>
        </is>
      </c>
      <c r="G56" s="20" t="inlineStr">
        <is>
          <t>11.11-11.15</t>
        </is>
      </c>
      <c r="H56" s="20" t="n"/>
      <c r="I56" s="20" t="n"/>
      <c r="J56" s="20" t="n"/>
      <c r="K56" s="20" t="inlineStr">
        <is>
          <t>財務管理中心</t>
        </is>
      </c>
      <c r="L56" s="24" t="n"/>
    </row>
    <row r="57" ht="101.5" customHeight="1" s="139">
      <c r="A57" s="19" t="n">
        <v>55</v>
      </c>
      <c r="B57" s="140" t="n"/>
      <c r="C57" s="140" t="n"/>
      <c r="D57" s="140" t="n"/>
      <c r="E57" s="140" t="n"/>
      <c r="F57" s="20" t="inlineStr">
        <is>
          <t>根據開發計畫、銷售計畫和交付計畫編制專案土地增值稅預算</t>
        </is>
      </c>
      <c r="G57" s="20" t="inlineStr">
        <is>
          <t>11.11-11.15</t>
        </is>
      </c>
      <c r="H57" s="20" t="n"/>
      <c r="I57" s="20" t="n"/>
      <c r="J57" s="140" t="n"/>
      <c r="K57" s="140" t="n"/>
      <c r="L57" s="24" t="n"/>
    </row>
    <row r="58" ht="43.5" customHeight="1" s="139">
      <c r="A58" s="19" t="n">
        <v>56</v>
      </c>
      <c r="B58" s="140" t="n"/>
      <c r="C58" s="140" t="n"/>
      <c r="D58" s="140" t="n"/>
      <c r="E58" s="140" t="n"/>
      <c r="F58" s="20" t="inlineStr">
        <is>
          <t>編制企業所得稅預算</t>
        </is>
      </c>
      <c r="G58" s="20" t="inlineStr">
        <is>
          <t>11.11-11.15</t>
        </is>
      </c>
      <c r="H58" s="20" t="n"/>
      <c r="I58" s="20" t="n"/>
      <c r="J58" s="140" t="n"/>
      <c r="K58" s="140" t="n"/>
      <c r="L58" s="24" t="n"/>
    </row>
    <row r="59" ht="72.5" customHeight="1" s="139">
      <c r="A59" s="19" t="n">
        <v>57</v>
      </c>
      <c r="B59" s="140" t="n"/>
      <c r="C59" s="140" t="n"/>
      <c r="D59" s="141" t="n"/>
      <c r="E59" s="141" t="n"/>
      <c r="F59" s="20" t="inlineStr">
        <is>
          <t>編制部門工作計畫及費用預算報人力企管中心</t>
        </is>
      </c>
      <c r="G59" s="20" t="inlineStr">
        <is>
          <t>11.1-11.10</t>
        </is>
      </c>
      <c r="H59" s="20" t="n"/>
      <c r="I59" s="20" t="n"/>
      <c r="J59" s="141" t="n"/>
      <c r="K59" s="141" t="n"/>
      <c r="L59" s="24" t="n"/>
    </row>
    <row r="60" ht="101.5" customHeight="1" s="139">
      <c r="A60" s="19" t="n">
        <v>58</v>
      </c>
      <c r="B60" s="140" t="n"/>
      <c r="C60" s="140" t="n"/>
      <c r="D60" s="20" t="inlineStr">
        <is>
          <t>子公司年度經營目標及預算初稿編制</t>
        </is>
      </c>
      <c r="E60" s="145" t="n"/>
      <c r="F60" s="20" t="inlineStr">
        <is>
          <t>南京公司：參照集團編制年度經營目標及預算方法組織編制；</t>
        </is>
      </c>
      <c r="G60" s="20" t="inlineStr">
        <is>
          <t>10.20-11.15</t>
        </is>
      </c>
      <c r="H60" s="20" t="n"/>
      <c r="I60" s="20" t="n"/>
      <c r="J60" s="20" t="n"/>
      <c r="K60" s="20" t="inlineStr">
        <is>
          <t>南京公司</t>
        </is>
      </c>
      <c r="L60" s="24" t="n"/>
    </row>
    <row r="61" ht="130.5" customHeight="1" s="139">
      <c r="A61" s="19" t="n">
        <v>59</v>
      </c>
      <c r="B61" s="140" t="n"/>
      <c r="C61" s="140" t="n"/>
      <c r="D61" s="148" t="n"/>
      <c r="E61" s="149" t="n"/>
      <c r="F61" s="20" t="inlineStr">
        <is>
          <t>杭州公司：按經營大綱的要求，提供行銷計畫、專案開發計畫、現金回籠計畫。</t>
        </is>
      </c>
      <c r="G61" s="140" t="n"/>
      <c r="H61" s="20" t="n"/>
      <c r="I61" s="20" t="n"/>
      <c r="J61" s="20" t="n"/>
      <c r="K61" s="20" t="inlineStr">
        <is>
          <t>杭州公司</t>
        </is>
      </c>
      <c r="L61" s="24" t="n"/>
    </row>
    <row r="62" ht="101.5" customHeight="1" s="139">
      <c r="A62" s="19" t="n">
        <v>60</v>
      </c>
      <c r="B62" s="140" t="n"/>
      <c r="C62" s="140" t="n"/>
      <c r="D62" s="148" t="n"/>
      <c r="E62" s="149" t="n"/>
      <c r="F62" s="20" t="inlineStr">
        <is>
          <t>上海公司：專案開發計畫、開發成本預算、管理費用預算</t>
        </is>
      </c>
      <c r="G62" s="140" t="n"/>
      <c r="H62" s="20" t="n"/>
      <c r="I62" s="20" t="n"/>
      <c r="J62" s="20" t="n"/>
      <c r="K62" s="20" t="inlineStr">
        <is>
          <t>上海公司</t>
        </is>
      </c>
      <c r="L62" s="24" t="n"/>
    </row>
    <row r="63" ht="130.5" customHeight="1" s="139">
      <c r="A63" s="19" t="n">
        <v>61</v>
      </c>
      <c r="B63" s="140" t="n"/>
      <c r="C63" s="140" t="n"/>
      <c r="D63" s="148" t="n"/>
      <c r="E63" s="149" t="n"/>
      <c r="F63" s="20" t="inlineStr">
        <is>
          <t>****專案：按經營大綱的要求，提供行銷計畫、專案開發計畫、現金回籠計畫。</t>
        </is>
      </c>
      <c r="G63" s="140" t="n"/>
      <c r="H63" s="20" t="n"/>
      <c r="I63" s="20" t="n"/>
      <c r="J63" s="20" t="n"/>
      <c r="K63" s="20" t="n"/>
      <c r="L63" s="24" t="n"/>
    </row>
    <row r="64" ht="232" customHeight="1" s="139">
      <c r="A64" s="19" t="n">
        <v>62</v>
      </c>
      <c r="B64" s="140" t="n"/>
      <c r="C64" s="141" t="n"/>
      <c r="D64" s="150" t="n"/>
      <c r="E64" s="151" t="n"/>
      <c r="F64" s="20" t="inlineStr">
        <is>
          <t>酒店、學校、物業、會所參照集團及商住全面預算編制流程，編制《本單位的年度經營目標及預算》並按11月30日節點時間提交給人力企管中心。</t>
        </is>
      </c>
      <c r="G64" s="141" t="n"/>
      <c r="H64" s="20" t="n"/>
      <c r="I64" s="20" t="n"/>
      <c r="J64" s="20" t="n"/>
      <c r="K64" s="20" t="inlineStr">
        <is>
          <t>酒店、學校、物業、會所</t>
        </is>
      </c>
      <c r="L64" s="24" t="n"/>
    </row>
    <row r="65" ht="130.5" customHeight="1" s="139">
      <c r="A65" s="19" t="n">
        <v>63</v>
      </c>
      <c r="B65" s="140" t="n"/>
      <c r="C65" s="20" t="inlineStr">
        <is>
          <t>預算平衡</t>
        </is>
      </c>
      <c r="D65" s="20" t="inlineStr">
        <is>
          <t>資金流量預算</t>
        </is>
      </c>
      <c r="E65" s="145" t="n"/>
      <c r="F65" s="20" t="inlineStr">
        <is>
          <t>總結本年投資執行情況、本年融資及利息費用支出情況、本年資金計畫執行情況等</t>
        </is>
      </c>
      <c r="G65" s="20" t="inlineStr">
        <is>
          <t>11.16-11.25</t>
        </is>
      </c>
      <c r="H65" s="20" t="inlineStr">
        <is>
          <t>在資金策略的指引下，編制資金計畫與預算；</t>
        </is>
      </c>
      <c r="I65" s="20" t="n"/>
      <c r="J65" s="20" t="n"/>
      <c r="K65" s="20" t="inlineStr">
        <is>
          <t>財務管理中心</t>
        </is>
      </c>
      <c r="L65" s="24" t="n"/>
    </row>
    <row r="66" ht="101.5" customHeight="1" s="139">
      <c r="A66" s="19" t="n">
        <v>64</v>
      </c>
      <c r="B66" s="140" t="n"/>
      <c r="C66" s="140" t="n"/>
      <c r="D66" s="148" t="n"/>
      <c r="E66" s="149" t="n"/>
      <c r="F66" s="20" t="inlineStr">
        <is>
          <t>編制金融市場政策及利息率預測報告、資金需求初步預測計畫等</t>
        </is>
      </c>
      <c r="G66" s="140" t="n"/>
      <c r="H66" s="20" t="n"/>
      <c r="I66" s="20" t="n"/>
      <c r="J66" s="140" t="n"/>
      <c r="K66" s="140" t="n"/>
      <c r="L66" s="24" t="n"/>
    </row>
    <row r="67" ht="87" customHeight="1" s="139">
      <c r="A67" s="19" t="n">
        <v>65</v>
      </c>
      <c r="B67" s="140" t="n"/>
      <c r="C67" s="140" t="n"/>
      <c r="D67" s="148" t="n"/>
      <c r="E67" s="149" t="n"/>
      <c r="F67" s="20" t="inlineStr">
        <is>
          <t>匯總各部門資金需求計畫編制和平衡公司資金流量表</t>
        </is>
      </c>
      <c r="G67" s="140" t="n"/>
      <c r="H67" s="20" t="n"/>
      <c r="I67" s="20" t="n"/>
      <c r="J67" s="140" t="n"/>
      <c r="K67" s="140" t="n"/>
      <c r="L67" s="24" t="n"/>
    </row>
    <row r="68" ht="130.5" customHeight="1" s="139">
      <c r="A68" s="19" t="n">
        <v>66</v>
      </c>
      <c r="B68" s="140" t="n"/>
      <c r="C68" s="140" t="n"/>
      <c r="D68" s="148" t="n"/>
      <c r="E68" s="149" t="n"/>
      <c r="F68" s="20" t="inlineStr">
        <is>
          <t>根據資金餘缺情況編制籌資計畫表（含世紀城集團和華邦集團內部的資金拆借）</t>
        </is>
      </c>
      <c r="G68" s="140" t="n"/>
      <c r="H68" s="20" t="n"/>
      <c r="I68" s="20" t="n"/>
      <c r="J68" s="140" t="n"/>
      <c r="K68" s="140" t="n"/>
      <c r="L68" s="24" t="n"/>
    </row>
    <row r="69" ht="29" customHeight="1" s="139">
      <c r="A69" s="19" t="n">
        <v>67</v>
      </c>
      <c r="B69" s="140" t="n"/>
      <c r="C69" s="140" t="n"/>
      <c r="D69" s="148" t="n"/>
      <c r="E69" s="149" t="n"/>
      <c r="F69" s="20" t="inlineStr">
        <is>
          <t>編制利息費用預算</t>
        </is>
      </c>
      <c r="G69" s="140" t="n"/>
      <c r="H69" s="20" t="n"/>
      <c r="I69" s="20" t="n"/>
      <c r="J69" s="140" t="n"/>
      <c r="K69" s="140" t="n"/>
      <c r="L69" s="24" t="n"/>
    </row>
    <row r="70" ht="72.5" customHeight="1" s="139">
      <c r="A70" s="19" t="n">
        <v>68</v>
      </c>
      <c r="B70" s="140" t="n"/>
      <c r="C70" s="140" t="n"/>
      <c r="D70" s="150" t="n"/>
      <c r="E70" s="151" t="n"/>
      <c r="F70" s="20" t="inlineStr">
        <is>
          <t>編制部門工作計畫及費用預算報人力企管中心</t>
        </is>
      </c>
      <c r="G70" s="140" t="n"/>
      <c r="H70" s="20" t="n"/>
      <c r="I70" s="20" t="n"/>
      <c r="J70" s="141" t="n"/>
      <c r="K70" s="141" t="n"/>
      <c r="L70" s="24" t="n"/>
    </row>
    <row r="71" ht="29" customHeight="1" s="139">
      <c r="A71" s="19" t="n">
        <v>69</v>
      </c>
      <c r="B71" s="140" t="n"/>
      <c r="C71" s="140" t="n"/>
      <c r="D71" s="20" t="inlineStr">
        <is>
          <t>財務預算</t>
        </is>
      </c>
      <c r="E71" s="145" t="n"/>
      <c r="F71" s="20" t="inlineStr">
        <is>
          <t>預計利潤表</t>
        </is>
      </c>
      <c r="G71" s="140" t="n"/>
      <c r="H71" s="20" t="n"/>
      <c r="I71" s="20" t="n"/>
      <c r="J71" s="20" t="n"/>
      <c r="K71" s="20" t="inlineStr">
        <is>
          <t>財務管理中心</t>
        </is>
      </c>
      <c r="L71" s="24" t="n"/>
    </row>
    <row r="72" ht="29" customHeight="1" s="139">
      <c r="A72" s="19" t="n">
        <v>70</v>
      </c>
      <c r="B72" s="140" t="n"/>
      <c r="C72" s="140" t="n"/>
      <c r="D72" s="148" t="n"/>
      <c r="E72" s="149" t="n"/>
      <c r="F72" s="20" t="inlineStr">
        <is>
          <t>預計現金流量表</t>
        </is>
      </c>
      <c r="G72" s="140" t="n"/>
      <c r="H72" s="20" t="n"/>
      <c r="I72" s="20" t="n"/>
      <c r="J72" s="140" t="n"/>
      <c r="K72" s="140" t="n"/>
      <c r="L72" s="24" t="n"/>
    </row>
    <row r="73" ht="29" customHeight="1" s="139">
      <c r="A73" s="19" t="n">
        <v>71</v>
      </c>
      <c r="B73" s="140" t="n"/>
      <c r="C73" s="140" t="n"/>
      <c r="D73" s="148" t="n"/>
      <c r="E73" s="149" t="n"/>
      <c r="F73" s="20" t="inlineStr">
        <is>
          <t>預計資產負責表</t>
        </is>
      </c>
      <c r="G73" s="140" t="n"/>
      <c r="H73" s="20" t="n"/>
      <c r="I73" s="20" t="n"/>
      <c r="J73" s="140" t="n"/>
      <c r="K73" s="140" t="n"/>
      <c r="L73" s="24" t="n"/>
    </row>
    <row r="74" ht="29" customHeight="1" s="139">
      <c r="A74" s="19" t="n">
        <v>72</v>
      </c>
      <c r="B74" s="140" t="n"/>
      <c r="C74" s="141" t="n"/>
      <c r="D74" s="150" t="n"/>
      <c r="E74" s="151" t="n"/>
      <c r="F74" s="20" t="inlineStr">
        <is>
          <t>其他輔助表格</t>
        </is>
      </c>
      <c r="G74" s="141" t="n"/>
      <c r="H74" s="20" t="n"/>
      <c r="I74" s="20" t="n"/>
      <c r="J74" s="141" t="n"/>
      <c r="K74" s="141" t="n"/>
      <c r="L74" s="24" t="n"/>
    </row>
    <row r="75" ht="43.5" customHeight="1" s="139">
      <c r="A75" s="19" t="n">
        <v>73</v>
      </c>
      <c r="B75" s="140" t="n"/>
      <c r="C75" s="34" t="inlineStr">
        <is>
          <t>匯總並完善</t>
        </is>
      </c>
      <c r="D75" s="20" t="inlineStr">
        <is>
          <t>編制2013年預算考核方案</t>
        </is>
      </c>
      <c r="E75" s="152" t="n"/>
      <c r="F75" s="20" t="inlineStr">
        <is>
          <t>《2013年預算考核方案》</t>
        </is>
      </c>
      <c r="G75" s="20" t="inlineStr">
        <is>
          <t>11.1-11.30</t>
        </is>
      </c>
      <c r="H75" s="20" t="n"/>
      <c r="I75" s="20" t="n"/>
      <c r="J75" s="20" t="n"/>
      <c r="K75" s="20" t="inlineStr">
        <is>
          <t>人力企管中心</t>
        </is>
      </c>
      <c r="L75" s="24" t="n"/>
    </row>
    <row r="76" ht="58" customHeight="1" s="139">
      <c r="A76" s="19" t="n">
        <v>74</v>
      </c>
      <c r="B76" s="140" t="n"/>
      <c r="C76" s="140" t="n"/>
      <c r="D76" s="20" t="inlineStr">
        <is>
          <t>匯總並形成年度經營經營計畫初稿</t>
        </is>
      </c>
      <c r="E76" s="152" t="n"/>
      <c r="F76" s="20" t="inlineStr">
        <is>
          <t>《公司2013年度經營計畫》初稿</t>
        </is>
      </c>
      <c r="G76" s="20" t="inlineStr">
        <is>
          <t>11.1-11.30</t>
        </is>
      </c>
      <c r="H76" s="20" t="inlineStr">
        <is>
          <t>在經營目標的指引下編制；</t>
        </is>
      </c>
      <c r="I76" s="20" t="n"/>
      <c r="J76" s="20" t="n"/>
      <c r="K76" s="20" t="inlineStr">
        <is>
          <t>財務管理中心、人力企管中心</t>
        </is>
      </c>
      <c r="L76" s="24" t="n"/>
    </row>
    <row r="77" ht="29" customHeight="1" s="139">
      <c r="A77" s="33" t="n">
        <v>75</v>
      </c>
      <c r="B77" s="140" t="n"/>
      <c r="C77" s="140" t="n"/>
      <c r="D77" s="34" t="inlineStr">
        <is>
          <t>財務預算報告草案</t>
        </is>
      </c>
      <c r="E77" s="145" t="n"/>
      <c r="F77" s="34" t="n"/>
      <c r="G77" s="34" t="inlineStr">
        <is>
          <t>11.26-11.30</t>
        </is>
      </c>
      <c r="H77" s="34" t="n"/>
      <c r="I77" s="34" t="n"/>
      <c r="J77" s="34" t="n"/>
      <c r="K77" s="34" t="inlineStr">
        <is>
          <t>常務小組</t>
        </is>
      </c>
      <c r="L77" s="37" t="n"/>
    </row>
    <row r="78" ht="159.5" customHeight="1" s="139">
      <c r="A78" s="38" t="n">
        <v>76</v>
      </c>
      <c r="B78" s="153" t="inlineStr">
        <is>
          <t>評審、修訂、發佈</t>
        </is>
      </c>
      <c r="C78" s="40" t="inlineStr">
        <is>
          <t>第一次質詢</t>
        </is>
      </c>
      <c r="D78" s="146" t="n"/>
      <c r="E78" s="40" t="inlineStr">
        <is>
          <t>根據經營成果預測及公司發展思路對下年度經營目標計畫進行和預算推演，提出回饋意見。</t>
        </is>
      </c>
      <c r="F78" s="40" t="inlineStr">
        <is>
          <t>《公司2013年度經營目標計畫》質詢意見及會議紀要</t>
        </is>
      </c>
      <c r="G78" s="40" t="inlineStr">
        <is>
          <t>12.1-12.7</t>
        </is>
      </c>
      <c r="H78" s="40" t="inlineStr">
        <is>
          <t>溝通、融智、共識、點燃激情、挑戰輝煌</t>
        </is>
      </c>
      <c r="I78" s="40" t="n"/>
      <c r="J78" s="40" t="n"/>
      <c r="K78" s="40" t="inlineStr">
        <is>
          <t>預算委員會</t>
        </is>
      </c>
      <c r="L78" s="43" t="n"/>
    </row>
    <row r="79" ht="203" customHeight="1" s="139">
      <c r="A79" s="19" t="n">
        <v>77</v>
      </c>
      <c r="B79" s="140" t="n"/>
      <c r="C79" s="20" t="inlineStr">
        <is>
          <t>各部門修訂</t>
        </is>
      </c>
      <c r="D79" s="152" t="n"/>
      <c r="E79" s="20" t="inlineStr">
        <is>
          <t>各部門根據評審意見修訂各部門工作計畫及預算。</t>
        </is>
      </c>
      <c r="F79" s="20" t="inlineStr">
        <is>
          <t>1、各職能部門計畫及預算修改稿
2、人力企管中心修改公司2013年年度經營目標計畫
3、財務管理中心修改財務預算</t>
        </is>
      </c>
      <c r="G79" s="20" t="inlineStr">
        <is>
          <t>12.7-12.9</t>
        </is>
      </c>
      <c r="H79" s="20" t="n"/>
      <c r="I79" s="20" t="n"/>
      <c r="J79" s="20" t="n"/>
      <c r="K79" s="20" t="inlineStr">
        <is>
          <t>各部門分管領導</t>
        </is>
      </c>
      <c r="L79" s="24" t="n"/>
    </row>
    <row r="80" ht="87" customHeight="1" s="139">
      <c r="A80" s="19" t="n">
        <v>78</v>
      </c>
      <c r="B80" s="140" t="n"/>
      <c r="C80" s="20" t="inlineStr">
        <is>
          <t>第二次質詢</t>
        </is>
      </c>
      <c r="D80" s="152" t="n"/>
      <c r="E80" s="20" t="inlineStr">
        <is>
          <t>預算委員會再次質詢《2013年經營目標計畫》。</t>
        </is>
      </c>
      <c r="F80" s="20" t="inlineStr">
        <is>
          <t>《2013年經營目標計畫》、《財務預算表》</t>
        </is>
      </c>
      <c r="G80" s="20" t="inlineStr">
        <is>
          <t>12.10-12.15</t>
        </is>
      </c>
      <c r="H80" s="20" t="n"/>
      <c r="I80" s="20" t="n"/>
      <c r="J80" s="20" t="n"/>
      <c r="K80" s="20" t="inlineStr">
        <is>
          <t>預算委員會</t>
        </is>
      </c>
      <c r="L80" s="24" t="n"/>
    </row>
    <row r="81" ht="101.5" customHeight="1" s="139">
      <c r="A81" s="19" t="n">
        <v>79</v>
      </c>
      <c r="B81" s="140" t="n"/>
      <c r="C81" s="20" t="inlineStr">
        <is>
          <t>上報董事會</t>
        </is>
      </c>
      <c r="D81" s="152" t="n"/>
      <c r="E81" s="20" t="inlineStr">
        <is>
          <t>總裁簽署公司2013年度經營計畫和預算報告上報董事會。</t>
        </is>
      </c>
      <c r="F81" s="20" t="inlineStr">
        <is>
          <t>經營計畫、預算報告、考核方案</t>
        </is>
      </c>
      <c r="G81" s="20" t="inlineStr">
        <is>
          <t>12.15-12.18</t>
        </is>
      </c>
      <c r="H81" s="20" t="n"/>
      <c r="I81" s="20" t="n"/>
      <c r="J81" s="20" t="n"/>
      <c r="K81" s="20" t="inlineStr">
        <is>
          <t>預算委員會</t>
        </is>
      </c>
      <c r="L81" s="24" t="n"/>
    </row>
    <row r="82" ht="101.5" customHeight="1" s="139">
      <c r="A82" s="19" t="n">
        <v>80</v>
      </c>
      <c r="B82" s="140" t="n"/>
      <c r="C82" s="20" t="inlineStr">
        <is>
          <t>審批發佈</t>
        </is>
      </c>
      <c r="D82" s="152" t="n"/>
      <c r="E82" s="20" t="inlineStr">
        <is>
          <t>董事會審議</t>
        </is>
      </c>
      <c r="F82" s="20" t="inlineStr">
        <is>
          <t>正式發佈《公司2013年度經營目標計畫》、財務預算表</t>
        </is>
      </c>
      <c r="G82" s="20" t="inlineStr">
        <is>
          <t>12.19-12.25</t>
        </is>
      </c>
      <c r="H82" s="20" t="n"/>
      <c r="I82" s="20" t="n"/>
      <c r="J82" s="20" t="n"/>
      <c r="K82" s="20" t="inlineStr">
        <is>
          <t>董事會</t>
        </is>
      </c>
      <c r="L82" s="24" t="n"/>
    </row>
    <row r="83" ht="131" customHeight="1" s="139" thickBot="1">
      <c r="A83" s="54" t="n">
        <v>81</v>
      </c>
      <c r="B83" s="154" t="n"/>
      <c r="C83" s="55" t="inlineStr">
        <is>
          <t>責任書簽訂</t>
        </is>
      </c>
      <c r="D83" s="155" t="n"/>
      <c r="E83" s="55" t="inlineStr">
        <is>
          <t>制訂《專案經營目標責任書》、《競爭力目標計畫》、《年度經營目標責任書》。</t>
        </is>
      </c>
      <c r="F83" s="55" t="inlineStr">
        <is>
          <t>責任書簽訂</t>
        </is>
      </c>
      <c r="G83" s="55" t="inlineStr">
        <is>
          <t>12.25-12.31</t>
        </is>
      </c>
      <c r="H83" s="55" t="n"/>
      <c r="I83" s="55" t="n"/>
      <c r="J83" s="55" t="n"/>
      <c r="K83" s="55" t="inlineStr">
        <is>
          <t>預算委員會</t>
        </is>
      </c>
      <c r="L83" s="58" t="n"/>
    </row>
  </sheetData>
  <mergeCells count="70">
    <mergeCell ref="C83:D83"/>
    <mergeCell ref="E49:E53"/>
    <mergeCell ref="K54:K55"/>
    <mergeCell ref="E45:E47"/>
    <mergeCell ref="K45:K48"/>
    <mergeCell ref="J26:J28"/>
    <mergeCell ref="C24:D24"/>
    <mergeCell ref="D60:E64"/>
    <mergeCell ref="K65:K70"/>
    <mergeCell ref="C20:C21"/>
    <mergeCell ref="E4:E5"/>
    <mergeCell ref="G6:G12"/>
    <mergeCell ref="E29:E30"/>
    <mergeCell ref="D71:E74"/>
    <mergeCell ref="J31:J33"/>
    <mergeCell ref="C79:D79"/>
    <mergeCell ref="B26:B77"/>
    <mergeCell ref="E26:E28"/>
    <mergeCell ref="D4:D12"/>
    <mergeCell ref="D77:E77"/>
    <mergeCell ref="C26:C64"/>
    <mergeCell ref="G60:G64"/>
    <mergeCell ref="D26:D59"/>
    <mergeCell ref="C25:D25"/>
    <mergeCell ref="D76:E76"/>
    <mergeCell ref="K56:K59"/>
    <mergeCell ref="K34:K36"/>
    <mergeCell ref="K38:K44"/>
    <mergeCell ref="L6:L12"/>
    <mergeCell ref="J54:J55"/>
    <mergeCell ref="C80:D80"/>
    <mergeCell ref="J65:J70"/>
    <mergeCell ref="B24:B25"/>
    <mergeCell ref="J45:J48"/>
    <mergeCell ref="E54:E55"/>
    <mergeCell ref="D75:E75"/>
    <mergeCell ref="K71:K74"/>
    <mergeCell ref="D65:E70"/>
    <mergeCell ref="L26:L27"/>
    <mergeCell ref="K14:K15"/>
    <mergeCell ref="K49:K53"/>
    <mergeCell ref="B4:B21"/>
    <mergeCell ref="D18:D19"/>
    <mergeCell ref="B78:B83"/>
    <mergeCell ref="G4:G5"/>
    <mergeCell ref="C65:C74"/>
    <mergeCell ref="J34:J36"/>
    <mergeCell ref="G65:G74"/>
    <mergeCell ref="C23:D23"/>
    <mergeCell ref="D14:D15"/>
    <mergeCell ref="J71:J74"/>
    <mergeCell ref="E31:E33"/>
    <mergeCell ref="K26:K28"/>
    <mergeCell ref="C4:C19"/>
    <mergeCell ref="J49:J53"/>
    <mergeCell ref="C82:D82"/>
    <mergeCell ref="J56:J59"/>
    <mergeCell ref="C75:C77"/>
    <mergeCell ref="E56:E59"/>
    <mergeCell ref="K31:K33"/>
    <mergeCell ref="J38:J44"/>
    <mergeCell ref="C81:D81"/>
    <mergeCell ref="E34:E36"/>
    <mergeCell ref="B22:B23"/>
    <mergeCell ref="A1:L1"/>
    <mergeCell ref="H4:H5"/>
    <mergeCell ref="E38:E44"/>
    <mergeCell ref="C78:D78"/>
    <mergeCell ref="E6:E12"/>
    <mergeCell ref="E14:E15"/>
  </mergeCell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W79"/>
  <sheetViews>
    <sheetView tabSelected="1" workbookViewId="0">
      <selection activeCell="D6" sqref="D6"/>
    </sheetView>
  </sheetViews>
  <sheetFormatPr baseColWidth="8" defaultRowHeight="14"/>
  <cols>
    <col width="47.54296875" customWidth="1" style="139" min="2" max="2"/>
  </cols>
  <sheetData>
    <row r="1" ht="24" customHeight="1" s="139">
      <c r="A1" s="1" t="inlineStr">
        <is>
          <t>預計指標計算表</t>
        </is>
      </c>
    </row>
    <row r="2" ht="15" customHeight="1" s="139" thickBot="1">
      <c r="A2" s="61" t="inlineStr">
        <is>
          <t>編制單位：</t>
        </is>
      </c>
      <c r="B2" s="60" t="n"/>
      <c r="C2" s="60" t="n"/>
      <c r="D2" s="60" t="n"/>
      <c r="E2" s="60" t="n"/>
      <c r="F2" s="60" t="n"/>
      <c r="G2" s="60" t="n"/>
      <c r="H2" s="60" t="inlineStr">
        <is>
          <t>預算年度：</t>
        </is>
      </c>
      <c r="I2" s="60" t="n"/>
      <c r="J2" s="60" t="n"/>
      <c r="K2" s="60" t="n"/>
      <c r="L2" s="60" t="n"/>
      <c r="M2" s="60" t="n"/>
      <c r="N2" s="60" t="n"/>
      <c r="O2" s="60" t="n"/>
      <c r="P2" s="60" t="n"/>
      <c r="Q2" s="60" t="n"/>
      <c r="R2" s="60" t="n"/>
      <c r="S2" s="60" t="n"/>
      <c r="T2" s="60" t="n"/>
      <c r="U2" s="60" t="n"/>
      <c r="V2" s="60" t="n"/>
      <c r="W2" s="60" t="n"/>
    </row>
    <row r="3" ht="29" customHeight="1" s="139">
      <c r="A3" s="2" t="inlineStr">
        <is>
          <t>指標大類</t>
        </is>
      </c>
      <c r="B3" s="62" t="inlineStr">
        <is>
          <t>指標名稱及公式</t>
        </is>
      </c>
      <c r="C3" s="63" t="inlineStr">
        <is>
          <t>單位</t>
        </is>
      </c>
      <c r="D3" s="64" t="inlineStr">
        <is>
          <t>1季度</t>
        </is>
      </c>
      <c r="E3" s="64" t="inlineStr">
        <is>
          <t>1月</t>
        </is>
      </c>
      <c r="F3" s="64" t="inlineStr">
        <is>
          <t>2月</t>
        </is>
      </c>
      <c r="G3" s="64" t="inlineStr">
        <is>
          <t>3月</t>
        </is>
      </c>
      <c r="H3" s="64" t="inlineStr">
        <is>
          <t>2季度</t>
        </is>
      </c>
      <c r="I3" s="64" t="inlineStr">
        <is>
          <t>4月</t>
        </is>
      </c>
      <c r="J3" s="64" t="inlineStr">
        <is>
          <t>5月</t>
        </is>
      </c>
      <c r="K3" s="64" t="inlineStr">
        <is>
          <t>6月</t>
        </is>
      </c>
      <c r="L3" s="64" t="inlineStr">
        <is>
          <t>3季度</t>
        </is>
      </c>
      <c r="M3" s="64" t="inlineStr">
        <is>
          <t>7月</t>
        </is>
      </c>
      <c r="N3" s="64" t="inlineStr">
        <is>
          <t>8月</t>
        </is>
      </c>
      <c r="O3" s="64" t="inlineStr">
        <is>
          <t>9月</t>
        </is>
      </c>
      <c r="P3" s="64" t="inlineStr">
        <is>
          <t>4季度</t>
        </is>
      </c>
      <c r="Q3" s="64" t="inlineStr">
        <is>
          <t>10月</t>
        </is>
      </c>
      <c r="R3" s="64" t="inlineStr">
        <is>
          <t>11月</t>
        </is>
      </c>
      <c r="S3" s="64" t="inlineStr">
        <is>
          <t>12月</t>
        </is>
      </c>
      <c r="T3" s="65" t="inlineStr">
        <is>
          <t>本年合計</t>
        </is>
      </c>
      <c r="U3" s="65" t="inlineStr">
        <is>
          <t>上年實際</t>
        </is>
      </c>
      <c r="V3" s="65" t="inlineStr">
        <is>
          <t>增減數</t>
        </is>
      </c>
      <c r="W3" s="5" t="inlineStr">
        <is>
          <t>增減（%）</t>
        </is>
      </c>
    </row>
    <row r="4" ht="14.5" customHeight="1" s="139">
      <c r="A4" s="66" t="inlineStr">
        <is>
          <t>財務指標</t>
        </is>
      </c>
      <c r="B4" s="68" t="inlineStr">
        <is>
          <t>重要基礎數據</t>
        </is>
      </c>
      <c r="C4" s="69" t="n"/>
      <c r="D4" s="156">
        <f>SUM(E4:G4)</f>
        <v/>
      </c>
      <c r="E4" s="157" t="n"/>
      <c r="F4" s="157" t="n"/>
      <c r="G4" s="157" t="n"/>
      <c r="H4" s="156">
        <f>SUM(I4:K4)</f>
        <v/>
      </c>
      <c r="I4" s="157" t="n"/>
      <c r="J4" s="157" t="n"/>
      <c r="K4" s="157" t="n"/>
      <c r="L4" s="156">
        <f>SUM(M4:O4)</f>
        <v/>
      </c>
      <c r="M4" s="157" t="n"/>
      <c r="N4" s="157" t="n"/>
      <c r="O4" s="157" t="n"/>
      <c r="P4" s="156">
        <f>SUM(Q4:S4)</f>
        <v/>
      </c>
      <c r="Q4" s="157" t="n"/>
      <c r="R4" s="157" t="n"/>
      <c r="S4" s="157" t="n"/>
      <c r="T4" s="156">
        <f>D4+H4+L4+P4</f>
        <v/>
      </c>
      <c r="U4" s="158" t="n"/>
      <c r="V4" s="156">
        <f>T4-U4</f>
        <v/>
      </c>
      <c r="W4" s="73">
        <f>V4/T4</f>
        <v/>
      </c>
    </row>
    <row r="5" ht="14.5" customHeight="1" s="139">
      <c r="A5" s="159" t="n"/>
      <c r="B5" s="74" t="inlineStr">
        <is>
          <t>1、營業收入</t>
        </is>
      </c>
      <c r="C5" s="75" t="inlineStr">
        <is>
          <t>萬元</t>
        </is>
      </c>
      <c r="D5" s="156">
        <f>SUM(E5:G5)</f>
        <v/>
      </c>
      <c r="E5" s="160" t="n"/>
      <c r="F5" s="160" t="n"/>
      <c r="G5" s="160" t="n"/>
      <c r="H5" s="156">
        <f>SUM(I5:K5)</f>
        <v/>
      </c>
      <c r="I5" s="160" t="n"/>
      <c r="J5" s="160" t="n"/>
      <c r="K5" s="160" t="n"/>
      <c r="L5" s="156">
        <f>SUM(M5:O5)</f>
        <v/>
      </c>
      <c r="M5" s="160" t="n"/>
      <c r="N5" s="160" t="n"/>
      <c r="O5" s="160" t="n"/>
      <c r="P5" s="156">
        <f>SUM(Q5:S5)</f>
        <v/>
      </c>
      <c r="Q5" s="160" t="n"/>
      <c r="R5" s="160" t="n"/>
      <c r="S5" s="160" t="n"/>
      <c r="T5" s="156">
        <f>D5+H5+L5+P5</f>
        <v/>
      </c>
      <c r="U5" s="161" t="n"/>
      <c r="V5" s="156">
        <f>T5-U5</f>
        <v/>
      </c>
      <c r="W5" s="73">
        <f>V5/T5</f>
        <v/>
      </c>
    </row>
    <row r="6" ht="14.5" customHeight="1" s="139">
      <c r="A6" s="159" t="n"/>
      <c r="B6" s="74" t="inlineStr">
        <is>
          <t>2、毛利(收入-主營成本)</t>
        </is>
      </c>
      <c r="C6" s="75" t="n"/>
      <c r="D6" s="156">
        <f>SUM(E6:G6)</f>
        <v/>
      </c>
      <c r="E6" s="160" t="n"/>
      <c r="F6" s="160" t="n"/>
      <c r="G6" s="160" t="n"/>
      <c r="H6" s="156">
        <f>SUM(I6:K6)</f>
        <v/>
      </c>
      <c r="I6" s="160" t="n"/>
      <c r="J6" s="160" t="n"/>
      <c r="K6" s="160" t="n"/>
      <c r="L6" s="156">
        <f>SUM(M6:O6)</f>
        <v/>
      </c>
      <c r="M6" s="160" t="n"/>
      <c r="N6" s="160" t="n"/>
      <c r="O6" s="160" t="n"/>
      <c r="P6" s="156">
        <f>SUM(Q6:S6)</f>
        <v/>
      </c>
      <c r="Q6" s="160" t="n"/>
      <c r="R6" s="160" t="n"/>
      <c r="S6" s="160" t="n"/>
      <c r="T6" s="156">
        <f>D6+H6+L6+P6</f>
        <v/>
      </c>
      <c r="U6" s="161" t="n"/>
      <c r="V6" s="156">
        <f>T6-U6</f>
        <v/>
      </c>
      <c r="W6" s="73">
        <f>V6/T6</f>
        <v/>
      </c>
    </row>
    <row r="7" ht="14.5" customHeight="1" s="139">
      <c r="A7" s="159" t="n"/>
      <c r="B7" s="74" t="inlineStr">
        <is>
          <t>2、利潤總額</t>
        </is>
      </c>
      <c r="C7" s="75" t="inlineStr">
        <is>
          <t>萬元</t>
        </is>
      </c>
      <c r="D7" s="156">
        <f>SUM(E7:G7)</f>
        <v/>
      </c>
      <c r="E7" s="160" t="n"/>
      <c r="F7" s="160" t="n"/>
      <c r="G7" s="160" t="n"/>
      <c r="H7" s="156">
        <f>SUM(I7:K7)</f>
        <v/>
      </c>
      <c r="I7" s="160" t="n"/>
      <c r="J7" s="160" t="n"/>
      <c r="K7" s="160" t="n"/>
      <c r="L7" s="156">
        <f>SUM(M7:O7)</f>
        <v/>
      </c>
      <c r="M7" s="160" t="n"/>
      <c r="N7" s="160" t="n"/>
      <c r="O7" s="160" t="n"/>
      <c r="P7" s="156">
        <f>SUM(Q7:S7)</f>
        <v/>
      </c>
      <c r="Q7" s="160" t="n"/>
      <c r="R7" s="160" t="n"/>
      <c r="S7" s="160" t="n"/>
      <c r="T7" s="156">
        <f>D7+H7+L7+P7</f>
        <v/>
      </c>
      <c r="U7" s="161" t="n"/>
      <c r="V7" s="156">
        <f>T7-U7</f>
        <v/>
      </c>
      <c r="W7" s="73">
        <f>V7/T7</f>
        <v/>
      </c>
    </row>
    <row r="8" ht="14.5" customHeight="1" s="139">
      <c r="A8" s="159" t="n"/>
      <c r="B8" s="74" t="inlineStr">
        <is>
          <t>3、淨利潤</t>
        </is>
      </c>
      <c r="C8" s="75" t="inlineStr">
        <is>
          <t>萬元</t>
        </is>
      </c>
      <c r="D8" s="156">
        <f>SUM(E8:G8)</f>
        <v/>
      </c>
      <c r="E8" s="160" t="n"/>
      <c r="F8" s="160" t="n"/>
      <c r="G8" s="160" t="n"/>
      <c r="H8" s="156">
        <f>SUM(I8:K8)</f>
        <v/>
      </c>
      <c r="I8" s="160" t="n"/>
      <c r="J8" s="160" t="n"/>
      <c r="K8" s="160" t="n"/>
      <c r="L8" s="156">
        <f>SUM(M8:O8)</f>
        <v/>
      </c>
      <c r="M8" s="160" t="n"/>
      <c r="N8" s="160" t="n"/>
      <c r="O8" s="160" t="n"/>
      <c r="P8" s="156">
        <f>SUM(Q8:S8)</f>
        <v/>
      </c>
      <c r="Q8" s="160" t="n"/>
      <c r="R8" s="160" t="n"/>
      <c r="S8" s="160" t="n"/>
      <c r="T8" s="156">
        <f>D8+H8+L8+P8</f>
        <v/>
      </c>
      <c r="U8" s="161" t="n"/>
      <c r="V8" s="156">
        <f>T8-U8</f>
        <v/>
      </c>
      <c r="W8" s="73">
        <f>V8/T8</f>
        <v/>
      </c>
    </row>
    <row r="9" ht="14.5" customHeight="1" s="139">
      <c r="A9" s="159" t="n"/>
      <c r="B9" s="74" t="inlineStr">
        <is>
          <t>4、平均淨資產</t>
        </is>
      </c>
      <c r="C9" s="75" t="inlineStr">
        <is>
          <t>萬元</t>
        </is>
      </c>
      <c r="D9" s="156">
        <f>SUM(E9:G9)</f>
        <v/>
      </c>
      <c r="E9" s="160" t="n"/>
      <c r="F9" s="160" t="n"/>
      <c r="G9" s="160" t="n"/>
      <c r="H9" s="156">
        <f>SUM(I9:K9)</f>
        <v/>
      </c>
      <c r="I9" s="160" t="n"/>
      <c r="J9" s="160" t="n"/>
      <c r="K9" s="160" t="n"/>
      <c r="L9" s="156">
        <f>SUM(M9:O9)</f>
        <v/>
      </c>
      <c r="M9" s="160" t="n"/>
      <c r="N9" s="160" t="n"/>
      <c r="O9" s="160" t="n"/>
      <c r="P9" s="156">
        <f>SUM(Q9:S9)</f>
        <v/>
      </c>
      <c r="Q9" s="160" t="n"/>
      <c r="R9" s="160" t="n"/>
      <c r="S9" s="160" t="n"/>
      <c r="T9" s="156">
        <f>D9+H9+L9+P9</f>
        <v/>
      </c>
      <c r="U9" s="161" t="n"/>
      <c r="V9" s="156">
        <f>T9-U9</f>
        <v/>
      </c>
      <c r="W9" s="73">
        <f>V9/T9</f>
        <v/>
      </c>
    </row>
    <row r="10" ht="14.5" customHeight="1" s="139">
      <c r="A10" s="159" t="n"/>
      <c r="B10" s="74" t="inlineStr">
        <is>
          <t>5、平均總資產</t>
        </is>
      </c>
      <c r="C10" s="75" t="inlineStr">
        <is>
          <t>萬元</t>
        </is>
      </c>
      <c r="D10" s="156">
        <f>SUM(E10:G10)</f>
        <v/>
      </c>
      <c r="E10" s="160" t="n"/>
      <c r="F10" s="160" t="n"/>
      <c r="G10" s="160" t="n"/>
      <c r="H10" s="156">
        <f>SUM(I10:K10)</f>
        <v/>
      </c>
      <c r="I10" s="160" t="n"/>
      <c r="J10" s="160" t="n"/>
      <c r="K10" s="160" t="n"/>
      <c r="L10" s="156">
        <f>SUM(M10:O10)</f>
        <v/>
      </c>
      <c r="M10" s="160" t="n"/>
      <c r="N10" s="160" t="n"/>
      <c r="O10" s="160" t="n"/>
      <c r="P10" s="156">
        <f>SUM(Q10:S10)</f>
        <v/>
      </c>
      <c r="Q10" s="160" t="n"/>
      <c r="R10" s="160" t="n"/>
      <c r="S10" s="160" t="n"/>
      <c r="T10" s="156">
        <f>D10+H10+L10+P10</f>
        <v/>
      </c>
      <c r="U10" s="161" t="n"/>
      <c r="V10" s="156">
        <f>T10-U10</f>
        <v/>
      </c>
      <c r="W10" s="73">
        <f>V10/T10</f>
        <v/>
      </c>
    </row>
    <row r="11" ht="14.5" customHeight="1" s="139">
      <c r="A11" s="159" t="n"/>
      <c r="B11" s="74" t="inlineStr">
        <is>
          <t>6、經營現金淨流量</t>
        </is>
      </c>
      <c r="C11" s="75" t="inlineStr">
        <is>
          <t>萬元</t>
        </is>
      </c>
      <c r="D11" s="156">
        <f>SUM(E11:G11)</f>
        <v/>
      </c>
      <c r="E11" s="160" t="n"/>
      <c r="F11" s="160" t="n"/>
      <c r="G11" s="160" t="n"/>
      <c r="H11" s="156">
        <f>SUM(I11:K11)</f>
        <v/>
      </c>
      <c r="I11" s="160" t="n"/>
      <c r="J11" s="160" t="n"/>
      <c r="K11" s="160" t="n"/>
      <c r="L11" s="156">
        <f>SUM(M11:O11)</f>
        <v/>
      </c>
      <c r="M11" s="160" t="n"/>
      <c r="N11" s="160" t="n"/>
      <c r="O11" s="160" t="n"/>
      <c r="P11" s="156">
        <f>SUM(Q11:S11)</f>
        <v/>
      </c>
      <c r="Q11" s="160" t="n"/>
      <c r="R11" s="160" t="n"/>
      <c r="S11" s="160" t="n"/>
      <c r="T11" s="156">
        <f>D11+H11+L11+P11</f>
        <v/>
      </c>
      <c r="U11" s="161" t="n"/>
      <c r="V11" s="156">
        <f>T11-U11</f>
        <v/>
      </c>
      <c r="W11" s="73">
        <f>V11/T11</f>
        <v/>
      </c>
    </row>
    <row r="12" ht="14.5" customHeight="1" s="139">
      <c r="A12" s="159" t="n"/>
      <c r="B12" s="78" t="inlineStr">
        <is>
          <t>7、專案拓展現金支出</t>
        </is>
      </c>
      <c r="C12" s="79" t="inlineStr">
        <is>
          <t>萬元</t>
        </is>
      </c>
      <c r="D12" s="162">
        <f>SUM(E12:G12)</f>
        <v/>
      </c>
      <c r="E12" s="163" t="n"/>
      <c r="F12" s="163" t="n"/>
      <c r="G12" s="163" t="n"/>
      <c r="H12" s="164">
        <f>SUM(I12:K12)</f>
        <v/>
      </c>
      <c r="I12" s="163" t="n"/>
      <c r="J12" s="163" t="n"/>
      <c r="K12" s="163" t="n"/>
      <c r="L12" s="162">
        <f>SUM(M12:O12)</f>
        <v/>
      </c>
      <c r="M12" s="163" t="n"/>
      <c r="N12" s="163" t="n"/>
      <c r="O12" s="163" t="n"/>
      <c r="P12" s="164">
        <f>SUM(Q12:S12)</f>
        <v/>
      </c>
      <c r="Q12" s="163" t="n"/>
      <c r="R12" s="163" t="n"/>
      <c r="S12" s="163" t="n"/>
      <c r="T12" s="162">
        <f>D12+H12+L12+P12</f>
        <v/>
      </c>
      <c r="U12" s="165" t="n"/>
      <c r="V12" s="162">
        <f>T12-U12</f>
        <v/>
      </c>
      <c r="W12" s="84">
        <f>V12/T12</f>
        <v/>
      </c>
    </row>
    <row r="13" ht="14.5" customHeight="1" s="139">
      <c r="A13" s="159" t="n"/>
      <c r="B13" s="68" t="inlineStr">
        <is>
          <t>一、盈利能力指標</t>
        </is>
      </c>
      <c r="C13" s="85" t="n"/>
      <c r="D13" s="166">
        <f>SUM(E13:G13)</f>
        <v/>
      </c>
      <c r="E13" s="167" t="n"/>
      <c r="F13" s="167" t="n"/>
      <c r="G13" s="167" t="n"/>
      <c r="H13" s="156">
        <f>SUM(I13:K13)</f>
        <v/>
      </c>
      <c r="I13" s="167" t="n"/>
      <c r="J13" s="167" t="n"/>
      <c r="K13" s="167" t="n"/>
      <c r="L13" s="166">
        <f>SUM(M13:O13)</f>
        <v/>
      </c>
      <c r="M13" s="167" t="n"/>
      <c r="N13" s="167" t="n"/>
      <c r="O13" s="167" t="n"/>
      <c r="P13" s="156">
        <f>SUM(Q13:S13)</f>
        <v/>
      </c>
      <c r="Q13" s="167" t="n"/>
      <c r="R13" s="167" t="n"/>
      <c r="S13" s="167" t="n"/>
      <c r="T13" s="166">
        <f>D13+H13+L13+P13</f>
        <v/>
      </c>
      <c r="U13" s="168" t="n"/>
      <c r="V13" s="166">
        <f>T13-U13</f>
        <v/>
      </c>
      <c r="W13" s="89">
        <f>V13/T13</f>
        <v/>
      </c>
    </row>
    <row r="14" ht="14.5" customHeight="1" s="139">
      <c r="A14" s="159" t="n"/>
      <c r="B14" s="74" t="inlineStr">
        <is>
          <t>1、銷售毛利率（毛利額／主營業務收入）</t>
        </is>
      </c>
      <c r="C14" s="90" t="n"/>
      <c r="D14" s="156">
        <f>SUM(E14:G14)</f>
        <v/>
      </c>
      <c r="E14" s="169" t="n"/>
      <c r="F14" s="169" t="n"/>
      <c r="G14" s="169" t="n"/>
      <c r="H14" s="156">
        <f>SUM(I14:K14)</f>
        <v/>
      </c>
      <c r="I14" s="169" t="n"/>
      <c r="J14" s="169" t="n"/>
      <c r="K14" s="169" t="n"/>
      <c r="L14" s="156">
        <f>SUM(M14:O14)</f>
        <v/>
      </c>
      <c r="M14" s="169" t="n"/>
      <c r="N14" s="169" t="n"/>
      <c r="O14" s="169" t="n"/>
      <c r="P14" s="156">
        <f>SUM(Q14:S14)</f>
        <v/>
      </c>
      <c r="Q14" s="169" t="n"/>
      <c r="R14" s="169" t="n"/>
      <c r="S14" s="169" t="n"/>
      <c r="T14" s="156">
        <f>D14+H14+L14+P14</f>
        <v/>
      </c>
      <c r="U14" s="170" t="n"/>
      <c r="V14" s="156">
        <f>T14-U14</f>
        <v/>
      </c>
      <c r="W14" s="73">
        <f>V14/T14</f>
        <v/>
      </c>
    </row>
    <row r="15" ht="14.5" customHeight="1" s="139">
      <c r="A15" s="159" t="n"/>
      <c r="B15" s="74" t="inlineStr">
        <is>
          <t>2、銷售淨利率（淨利潤／主營業務收入）</t>
        </is>
      </c>
      <c r="C15" s="90" t="n"/>
      <c r="D15" s="156">
        <f>SUM(E15:G15)</f>
        <v/>
      </c>
      <c r="E15" s="169" t="n"/>
      <c r="F15" s="169" t="n"/>
      <c r="G15" s="169" t="n"/>
      <c r="H15" s="156">
        <f>SUM(I15:K15)</f>
        <v/>
      </c>
      <c r="I15" s="169" t="n"/>
      <c r="J15" s="169" t="n"/>
      <c r="K15" s="169" t="n"/>
      <c r="L15" s="156">
        <f>SUM(M15:O15)</f>
        <v/>
      </c>
      <c r="M15" s="169" t="n"/>
      <c r="N15" s="169" t="n"/>
      <c r="O15" s="169" t="n"/>
      <c r="P15" s="156">
        <f>SUM(Q15:S15)</f>
        <v/>
      </c>
      <c r="Q15" s="169" t="n"/>
      <c r="R15" s="169" t="n"/>
      <c r="S15" s="169" t="n"/>
      <c r="T15" s="156">
        <f>D15+H15+L15+P15</f>
        <v/>
      </c>
      <c r="U15" s="170" t="n"/>
      <c r="V15" s="156">
        <f>T15-U15</f>
        <v/>
      </c>
      <c r="W15" s="73">
        <f>V15/T15</f>
        <v/>
      </c>
    </row>
    <row r="16" ht="14.5" customHeight="1" s="139">
      <c r="A16" s="159" t="n"/>
      <c r="B16" s="74" t="inlineStr">
        <is>
          <t>3、資產淨利率（淨利潤／平均資產總額）</t>
        </is>
      </c>
      <c r="C16" s="90" t="n"/>
      <c r="D16" s="156">
        <f>SUM(E16:G16)</f>
        <v/>
      </c>
      <c r="E16" s="169" t="n"/>
      <c r="F16" s="169" t="n"/>
      <c r="G16" s="169" t="n"/>
      <c r="H16" s="156">
        <f>SUM(I16:K16)</f>
        <v/>
      </c>
      <c r="I16" s="169" t="n"/>
      <c r="J16" s="169" t="n"/>
      <c r="K16" s="169" t="n"/>
      <c r="L16" s="156">
        <f>SUM(M16:O16)</f>
        <v/>
      </c>
      <c r="M16" s="169" t="n"/>
      <c r="N16" s="169" t="n"/>
      <c r="O16" s="169" t="n"/>
      <c r="P16" s="156">
        <f>SUM(Q16:S16)</f>
        <v/>
      </c>
      <c r="Q16" s="169" t="n"/>
      <c r="R16" s="169" t="n"/>
      <c r="S16" s="169" t="n"/>
      <c r="T16" s="156">
        <f>D16+H16+L16+P16</f>
        <v/>
      </c>
      <c r="U16" s="170" t="n"/>
      <c r="V16" s="156">
        <f>T16-U16</f>
        <v/>
      </c>
      <c r="W16" s="73">
        <f>V16/T16</f>
        <v/>
      </c>
    </row>
    <row r="17" ht="14.5" customHeight="1" s="139">
      <c r="A17" s="159" t="n"/>
      <c r="B17" s="78" t="inlineStr">
        <is>
          <t>4、權益淨利率（淨利潤／平均權益總額）</t>
        </is>
      </c>
      <c r="C17" s="93" t="n"/>
      <c r="D17" s="164">
        <f>SUM(E17:G17)</f>
        <v/>
      </c>
      <c r="E17" s="171" t="n"/>
      <c r="F17" s="171" t="n"/>
      <c r="G17" s="171" t="n"/>
      <c r="H17" s="162">
        <f>SUM(I17:K17)</f>
        <v/>
      </c>
      <c r="I17" s="171" t="n"/>
      <c r="J17" s="171" t="n"/>
      <c r="K17" s="171" t="n"/>
      <c r="L17" s="164">
        <f>SUM(M17:O17)</f>
        <v/>
      </c>
      <c r="M17" s="171" t="n"/>
      <c r="N17" s="171" t="n"/>
      <c r="O17" s="171" t="n"/>
      <c r="P17" s="162">
        <f>SUM(Q17:S17)</f>
        <v/>
      </c>
      <c r="Q17" s="171" t="n"/>
      <c r="R17" s="171" t="n"/>
      <c r="S17" s="171" t="n"/>
      <c r="T17" s="164">
        <f>D17+H17+L17+P17</f>
        <v/>
      </c>
      <c r="U17" s="172" t="n"/>
      <c r="V17" s="164">
        <f>T17-U17</f>
        <v/>
      </c>
      <c r="W17" s="96">
        <f>V17/T17</f>
        <v/>
      </c>
    </row>
    <row r="18" ht="14.5" customHeight="1" s="139">
      <c r="A18" s="159" t="n"/>
      <c r="B18" s="68" t="inlineStr">
        <is>
          <t>二、短期償債能力指標</t>
        </is>
      </c>
      <c r="C18" s="85" t="n"/>
      <c r="D18" s="156">
        <f>SUM(E18:G18)</f>
        <v/>
      </c>
      <c r="E18" s="167" t="n"/>
      <c r="F18" s="167" t="n"/>
      <c r="G18" s="167" t="n"/>
      <c r="H18" s="166">
        <f>SUM(I18:K18)</f>
        <v/>
      </c>
      <c r="I18" s="167" t="n"/>
      <c r="J18" s="167" t="n"/>
      <c r="K18" s="167" t="n"/>
      <c r="L18" s="156">
        <f>SUM(M18:O18)</f>
        <v/>
      </c>
      <c r="M18" s="167" t="n"/>
      <c r="N18" s="167" t="n"/>
      <c r="O18" s="167" t="n"/>
      <c r="P18" s="166">
        <f>SUM(Q18:S18)</f>
        <v/>
      </c>
      <c r="Q18" s="167" t="n"/>
      <c r="R18" s="167" t="n"/>
      <c r="S18" s="167" t="n"/>
      <c r="T18" s="156">
        <f>D18+H18+L18+P18</f>
        <v/>
      </c>
      <c r="U18" s="167" t="n"/>
      <c r="V18" s="156">
        <f>T18-U18</f>
        <v/>
      </c>
      <c r="W18" s="73">
        <f>V18/T18</f>
        <v/>
      </c>
    </row>
    <row r="19" ht="14.5" customHeight="1" s="139">
      <c r="A19" s="159" t="n"/>
      <c r="B19" s="74" t="inlineStr">
        <is>
          <t>1、流動比率（流動資產/流動負債）</t>
        </is>
      </c>
      <c r="C19" s="173" t="n"/>
      <c r="D19" s="156">
        <f>SUM(E19:G19)</f>
        <v/>
      </c>
      <c r="E19" s="169" t="n"/>
      <c r="F19" s="169" t="n"/>
      <c r="G19" s="169" t="n"/>
      <c r="H19" s="156">
        <f>SUM(I19:K19)</f>
        <v/>
      </c>
      <c r="I19" s="169" t="n"/>
      <c r="J19" s="169" t="n"/>
      <c r="K19" s="169" t="n"/>
      <c r="L19" s="156">
        <f>SUM(M19:O19)</f>
        <v/>
      </c>
      <c r="M19" s="169" t="n"/>
      <c r="N19" s="169" t="n"/>
      <c r="O19" s="169" t="n"/>
      <c r="P19" s="156">
        <f>SUM(Q19:S19)</f>
        <v/>
      </c>
      <c r="Q19" s="169" t="n"/>
      <c r="R19" s="169" t="n"/>
      <c r="S19" s="169" t="n"/>
      <c r="T19" s="156">
        <f>D19+H19+L19+P19</f>
        <v/>
      </c>
      <c r="U19" s="170" t="n"/>
      <c r="V19" s="156">
        <f>T19-U19</f>
        <v/>
      </c>
      <c r="W19" s="73">
        <f>V19/T19</f>
        <v/>
      </c>
    </row>
    <row r="20" ht="14.5" customHeight="1" s="139">
      <c r="A20" s="159" t="n"/>
      <c r="B20" s="74" t="inlineStr">
        <is>
          <t>2、速動比率（速動資產/流動負債）</t>
        </is>
      </c>
      <c r="C20" s="173" t="n"/>
      <c r="D20" s="156">
        <f>SUM(E20:G20)</f>
        <v/>
      </c>
      <c r="E20" s="169" t="n"/>
      <c r="F20" s="169" t="n"/>
      <c r="G20" s="169" t="n"/>
      <c r="H20" s="156">
        <f>SUM(I20:K20)</f>
        <v/>
      </c>
      <c r="I20" s="169" t="n"/>
      <c r="J20" s="169" t="n"/>
      <c r="K20" s="169" t="n"/>
      <c r="L20" s="156">
        <f>SUM(M20:O20)</f>
        <v/>
      </c>
      <c r="M20" s="169" t="n"/>
      <c r="N20" s="169" t="n"/>
      <c r="O20" s="169" t="n"/>
      <c r="P20" s="156">
        <f>SUM(Q20:S20)</f>
        <v/>
      </c>
      <c r="Q20" s="169" t="n"/>
      <c r="R20" s="169" t="n"/>
      <c r="S20" s="169" t="n"/>
      <c r="T20" s="156">
        <f>D20+H20+L20+P20</f>
        <v/>
      </c>
      <c r="U20" s="170" t="n"/>
      <c r="V20" s="156">
        <f>T20-U20</f>
        <v/>
      </c>
      <c r="W20" s="73">
        <f>V20/T20</f>
        <v/>
      </c>
    </row>
    <row r="21" ht="14.5" customHeight="1" s="139">
      <c r="A21" s="159" t="n"/>
      <c r="B21" s="98" t="inlineStr">
        <is>
          <t>3、現金流量比率（經營現金淨流量／流動負債）</t>
        </is>
      </c>
      <c r="C21" s="174" t="n"/>
      <c r="D21" s="162">
        <f>SUM(E21:G21)</f>
        <v/>
      </c>
      <c r="E21" s="175" t="n"/>
      <c r="F21" s="175" t="n"/>
      <c r="G21" s="175" t="n"/>
      <c r="H21" s="164">
        <f>SUM(I21:K21)</f>
        <v/>
      </c>
      <c r="I21" s="175" t="n"/>
      <c r="J21" s="175" t="n"/>
      <c r="K21" s="175" t="n"/>
      <c r="L21" s="162">
        <f>SUM(M21:O21)</f>
        <v/>
      </c>
      <c r="M21" s="175" t="n"/>
      <c r="N21" s="175" t="n"/>
      <c r="O21" s="175" t="n"/>
      <c r="P21" s="164">
        <f>SUM(Q21:S21)</f>
        <v/>
      </c>
      <c r="Q21" s="175" t="n"/>
      <c r="R21" s="175" t="n"/>
      <c r="S21" s="175" t="n"/>
      <c r="T21" s="162">
        <f>D21+H21+L21+P21</f>
        <v/>
      </c>
      <c r="U21" s="176" t="n"/>
      <c r="V21" s="162">
        <f>T21-U21</f>
        <v/>
      </c>
      <c r="W21" s="84">
        <f>V21/T21</f>
        <v/>
      </c>
    </row>
    <row r="22" ht="14.5" customHeight="1" s="139">
      <c r="A22" s="159" t="n"/>
      <c r="B22" s="102" t="inlineStr">
        <is>
          <t>三、長期償債能力指標</t>
        </is>
      </c>
      <c r="C22" s="103" t="n"/>
      <c r="D22" s="166">
        <f>SUM(E22:G22)</f>
        <v/>
      </c>
      <c r="E22" s="168" t="n"/>
      <c r="F22" s="168" t="n"/>
      <c r="G22" s="168" t="n"/>
      <c r="H22" s="156">
        <f>SUM(I22:K22)</f>
        <v/>
      </c>
      <c r="I22" s="168" t="n"/>
      <c r="J22" s="168" t="n"/>
      <c r="K22" s="168" t="n"/>
      <c r="L22" s="166">
        <f>SUM(M22:O22)</f>
        <v/>
      </c>
      <c r="M22" s="168" t="n"/>
      <c r="N22" s="168" t="n"/>
      <c r="O22" s="168" t="n"/>
      <c r="P22" s="156">
        <f>SUM(Q22:S22)</f>
        <v/>
      </c>
      <c r="Q22" s="168" t="n"/>
      <c r="R22" s="168" t="n"/>
      <c r="S22" s="168" t="n"/>
      <c r="T22" s="166">
        <f>D22+H22+L22+P22</f>
        <v/>
      </c>
      <c r="U22" s="168" t="n"/>
      <c r="V22" s="166">
        <f>T22-U22</f>
        <v/>
      </c>
      <c r="W22" s="89">
        <f>V22/T22</f>
        <v/>
      </c>
    </row>
    <row r="23" ht="14.5" customHeight="1" s="139">
      <c r="A23" s="159" t="n"/>
      <c r="B23" s="74" t="inlineStr">
        <is>
          <t>1、資產負債率（負債總額/資產總額）</t>
        </is>
      </c>
      <c r="C23" s="90" t="n"/>
      <c r="D23" s="156">
        <f>SUM(E23:G23)</f>
        <v/>
      </c>
      <c r="E23" s="169" t="n"/>
      <c r="F23" s="169" t="n"/>
      <c r="G23" s="169" t="n"/>
      <c r="H23" s="156">
        <f>SUM(I23:K23)</f>
        <v/>
      </c>
      <c r="I23" s="169" t="n"/>
      <c r="J23" s="169" t="n"/>
      <c r="K23" s="169" t="n"/>
      <c r="L23" s="156">
        <f>SUM(M23:O23)</f>
        <v/>
      </c>
      <c r="M23" s="169" t="n"/>
      <c r="N23" s="169" t="n"/>
      <c r="O23" s="169" t="n"/>
      <c r="P23" s="156">
        <f>SUM(Q23:S23)</f>
        <v/>
      </c>
      <c r="Q23" s="169" t="n"/>
      <c r="R23" s="169" t="n"/>
      <c r="S23" s="169" t="n"/>
      <c r="T23" s="156">
        <f>D23+H23+L23+P23</f>
        <v/>
      </c>
      <c r="U23" s="170" t="n"/>
      <c r="V23" s="156">
        <f>T23-U23</f>
        <v/>
      </c>
      <c r="W23" s="73">
        <f>V23/T23</f>
        <v/>
      </c>
    </row>
    <row r="24" ht="14.5" customHeight="1" s="139">
      <c r="A24" s="159" t="n"/>
      <c r="B24" s="74" t="inlineStr">
        <is>
          <t>2、利息保障倍數（EBIT/利息費用）</t>
        </is>
      </c>
      <c r="C24" s="173" t="n"/>
      <c r="D24" s="156">
        <f>SUM(E24:G24)</f>
        <v/>
      </c>
      <c r="E24" s="169" t="n"/>
      <c r="F24" s="169" t="n"/>
      <c r="G24" s="169" t="n"/>
      <c r="H24" s="156">
        <f>SUM(I24:K24)</f>
        <v/>
      </c>
      <c r="I24" s="169" t="n"/>
      <c r="J24" s="169" t="n"/>
      <c r="K24" s="169" t="n"/>
      <c r="L24" s="156">
        <f>SUM(M24:O24)</f>
        <v/>
      </c>
      <c r="M24" s="169" t="n"/>
      <c r="N24" s="169" t="n"/>
      <c r="O24" s="169" t="n"/>
      <c r="P24" s="156">
        <f>SUM(Q24:S24)</f>
        <v/>
      </c>
      <c r="Q24" s="169" t="n"/>
      <c r="R24" s="169" t="n"/>
      <c r="S24" s="169" t="n"/>
      <c r="T24" s="156">
        <f>D24+H24+L24+P24</f>
        <v/>
      </c>
      <c r="U24" s="170" t="n"/>
      <c r="V24" s="156">
        <f>T24-U24</f>
        <v/>
      </c>
      <c r="W24" s="73">
        <f>V24/T24</f>
        <v/>
      </c>
    </row>
    <row r="25" ht="14.5" customHeight="1" s="139">
      <c r="A25" s="159" t="n"/>
      <c r="B25" s="78" t="inlineStr">
        <is>
          <t>3、現金流量債務比（經營現金淨流量/債務總額）</t>
        </is>
      </c>
      <c r="C25" s="93" t="n"/>
      <c r="D25" s="164">
        <f>SUM(E25:G25)</f>
        <v/>
      </c>
      <c r="E25" s="171" t="n"/>
      <c r="F25" s="171" t="n"/>
      <c r="G25" s="171" t="n"/>
      <c r="H25" s="162">
        <f>SUM(I25:K25)</f>
        <v/>
      </c>
      <c r="I25" s="171" t="n"/>
      <c r="J25" s="171" t="n"/>
      <c r="K25" s="171" t="n"/>
      <c r="L25" s="164">
        <f>SUM(M25:O25)</f>
        <v/>
      </c>
      <c r="M25" s="171" t="n"/>
      <c r="N25" s="171" t="n"/>
      <c r="O25" s="171" t="n"/>
      <c r="P25" s="164">
        <f>SUM(Q25:S25)</f>
        <v/>
      </c>
      <c r="Q25" s="171" t="n"/>
      <c r="R25" s="171" t="n"/>
      <c r="S25" s="171" t="n"/>
      <c r="T25" s="164">
        <f>D25+H25+L25+P25</f>
        <v/>
      </c>
      <c r="U25" s="172" t="n"/>
      <c r="V25" s="164">
        <f>T25-U25</f>
        <v/>
      </c>
      <c r="W25" s="96">
        <f>V25/T25</f>
        <v/>
      </c>
    </row>
    <row r="26" ht="14.5" customHeight="1" s="139">
      <c r="A26" s="159" t="n"/>
      <c r="B26" s="68" t="inlineStr">
        <is>
          <t>四、資產管理指標(周轉次數)</t>
        </is>
      </c>
      <c r="C26" s="85" t="n"/>
      <c r="D26" s="156">
        <f>SUM(E26:G26)</f>
        <v/>
      </c>
      <c r="E26" s="167" t="n"/>
      <c r="F26" s="167" t="n"/>
      <c r="G26" s="167" t="n"/>
      <c r="H26" s="166">
        <f>SUM(I26:K26)</f>
        <v/>
      </c>
      <c r="I26" s="167" t="n"/>
      <c r="J26" s="167" t="n"/>
      <c r="K26" s="167" t="n"/>
      <c r="L26" s="156">
        <f>SUM(M26:O26)</f>
        <v/>
      </c>
      <c r="M26" s="167" t="n"/>
      <c r="N26" s="167" t="n"/>
      <c r="O26" s="167" t="n"/>
      <c r="P26" s="156">
        <f>SUM(Q26:S26)</f>
        <v/>
      </c>
      <c r="Q26" s="167" t="n"/>
      <c r="R26" s="167" t="n"/>
      <c r="S26" s="167" t="n"/>
      <c r="T26" s="156">
        <f>D26+H26+L26+P26</f>
        <v/>
      </c>
      <c r="U26" s="167" t="n"/>
      <c r="V26" s="156">
        <f>T26-U26</f>
        <v/>
      </c>
      <c r="W26" s="73">
        <f>V26/T26</f>
        <v/>
      </c>
    </row>
    <row r="27" ht="14.5" customHeight="1" s="139">
      <c r="A27" s="159" t="n"/>
      <c r="B27" s="74" t="inlineStr">
        <is>
          <t>1、總資產周轉率（主營業務收入/平均總資產）</t>
        </is>
      </c>
      <c r="C27" s="173" t="n"/>
      <c r="D27" s="156">
        <f>SUM(E27:G27)</f>
        <v/>
      </c>
      <c r="E27" s="169" t="n"/>
      <c r="F27" s="169" t="n"/>
      <c r="G27" s="169" t="n"/>
      <c r="H27" s="156">
        <f>SUM(I27:K27)</f>
        <v/>
      </c>
      <c r="I27" s="169" t="n"/>
      <c r="J27" s="169" t="n"/>
      <c r="K27" s="169" t="n"/>
      <c r="L27" s="156">
        <f>SUM(M27:O27)</f>
        <v/>
      </c>
      <c r="M27" s="169" t="n"/>
      <c r="N27" s="169" t="n"/>
      <c r="O27" s="169" t="n"/>
      <c r="P27" s="156">
        <f>SUM(Q27:S27)</f>
        <v/>
      </c>
      <c r="Q27" s="169" t="n"/>
      <c r="R27" s="169" t="n"/>
      <c r="S27" s="169" t="n"/>
      <c r="T27" s="156">
        <f>D27+H27+L27+P27</f>
        <v/>
      </c>
      <c r="U27" s="170" t="n"/>
      <c r="V27" s="156">
        <f>T27-U27</f>
        <v/>
      </c>
      <c r="W27" s="73">
        <f>V27/T27</f>
        <v/>
      </c>
    </row>
    <row r="28" ht="14.5" customHeight="1" s="139">
      <c r="A28" s="159" t="n"/>
      <c r="B28" s="74" t="inlineStr">
        <is>
          <t>2、流動資產周轉率（主營收入/平均流動資產）</t>
        </is>
      </c>
      <c r="C28" s="173" t="n"/>
      <c r="D28" s="156">
        <f>SUM(E28:G28)</f>
        <v/>
      </c>
      <c r="E28" s="169" t="n"/>
      <c r="F28" s="169" t="n"/>
      <c r="G28" s="169" t="n"/>
      <c r="H28" s="156">
        <f>SUM(I28:K28)</f>
        <v/>
      </c>
      <c r="I28" s="169" t="n"/>
      <c r="J28" s="169" t="n"/>
      <c r="K28" s="169" t="n"/>
      <c r="L28" s="156">
        <f>SUM(M28:O28)</f>
        <v/>
      </c>
      <c r="M28" s="169" t="n"/>
      <c r="N28" s="169" t="n"/>
      <c r="O28" s="169" t="n"/>
      <c r="P28" s="156">
        <f>SUM(Q28:S28)</f>
        <v/>
      </c>
      <c r="Q28" s="169" t="n"/>
      <c r="R28" s="169" t="n"/>
      <c r="S28" s="169" t="n"/>
      <c r="T28" s="156">
        <f>D28+H28+L28+P28</f>
        <v/>
      </c>
      <c r="U28" s="170" t="n"/>
      <c r="V28" s="156">
        <f>T28-U28</f>
        <v/>
      </c>
      <c r="W28" s="73">
        <f>V28/T28</f>
        <v/>
      </c>
    </row>
    <row r="29" ht="14.5" customHeight="1" s="139">
      <c r="A29" s="159" t="n"/>
      <c r="B29" s="74" t="inlineStr">
        <is>
          <t>3、應收帳款周轉率（主營收入/平均應收帳款）</t>
        </is>
      </c>
      <c r="C29" s="173" t="n"/>
      <c r="D29" s="156">
        <f>SUM(E29:G29)</f>
        <v/>
      </c>
      <c r="E29" s="169" t="n"/>
      <c r="F29" s="169" t="n"/>
      <c r="G29" s="169" t="n"/>
      <c r="H29" s="156">
        <f>SUM(I29:K29)</f>
        <v/>
      </c>
      <c r="I29" s="169" t="n"/>
      <c r="J29" s="169" t="n"/>
      <c r="K29" s="169" t="n"/>
      <c r="L29" s="156">
        <f>SUM(M29:O29)</f>
        <v/>
      </c>
      <c r="M29" s="169" t="n"/>
      <c r="N29" s="169" t="n"/>
      <c r="O29" s="169" t="n"/>
      <c r="P29" s="156">
        <f>SUM(Q29:S29)</f>
        <v/>
      </c>
      <c r="Q29" s="169" t="n"/>
      <c r="R29" s="169" t="n"/>
      <c r="S29" s="169" t="n"/>
      <c r="T29" s="156">
        <f>D29+H29+L29+P29</f>
        <v/>
      </c>
      <c r="U29" s="170" t="n"/>
      <c r="V29" s="156">
        <f>T29-U29</f>
        <v/>
      </c>
      <c r="W29" s="73">
        <f>V29/T29</f>
        <v/>
      </c>
    </row>
    <row r="30" ht="14.5" customHeight="1" s="139">
      <c r="A30" s="159" t="n"/>
      <c r="B30" s="74" t="inlineStr">
        <is>
          <t>4、存貨周轉率（主營業務成本/平均存貨）</t>
        </is>
      </c>
      <c r="C30" s="173" t="n"/>
      <c r="D30" s="156">
        <f>SUM(E30:G30)</f>
        <v/>
      </c>
      <c r="E30" s="169" t="n"/>
      <c r="F30" s="169" t="n"/>
      <c r="G30" s="169" t="n"/>
      <c r="H30" s="156">
        <f>SUM(I30:K30)</f>
        <v/>
      </c>
      <c r="I30" s="169" t="n"/>
      <c r="J30" s="169" t="n"/>
      <c r="K30" s="169" t="n"/>
      <c r="L30" s="156">
        <f>SUM(M30:O30)</f>
        <v/>
      </c>
      <c r="M30" s="169" t="n"/>
      <c r="N30" s="169" t="n"/>
      <c r="O30" s="169" t="n"/>
      <c r="P30" s="156">
        <f>SUM(Q30:S30)</f>
        <v/>
      </c>
      <c r="Q30" s="169" t="n"/>
      <c r="R30" s="169" t="n"/>
      <c r="S30" s="169" t="n"/>
      <c r="T30" s="156">
        <f>D30+H30+L30+P30</f>
        <v/>
      </c>
      <c r="U30" s="170" t="n"/>
      <c r="V30" s="156">
        <f>T30-U30</f>
        <v/>
      </c>
      <c r="W30" s="73">
        <f>V30/T30</f>
        <v/>
      </c>
    </row>
    <row r="31" ht="14.5" customHeight="1" s="139">
      <c r="A31" s="159" t="n"/>
      <c r="B31" s="104" t="inlineStr">
        <is>
          <t>五、杜邦分析體系</t>
        </is>
      </c>
      <c r="C31" s="90" t="n"/>
      <c r="D31" s="156">
        <f>SUM(E31:G31)</f>
        <v/>
      </c>
      <c r="E31" s="170" t="n"/>
      <c r="F31" s="170" t="n"/>
      <c r="G31" s="170" t="n"/>
      <c r="H31" s="156">
        <f>SUM(I31:K31)</f>
        <v/>
      </c>
      <c r="I31" s="170" t="n"/>
      <c r="J31" s="170" t="n"/>
      <c r="K31" s="170" t="n"/>
      <c r="L31" s="156">
        <f>SUM(M31:O31)</f>
        <v/>
      </c>
      <c r="M31" s="170" t="n"/>
      <c r="N31" s="170" t="n"/>
      <c r="O31" s="170" t="n"/>
      <c r="P31" s="156">
        <f>SUM(Q31:S31)</f>
        <v/>
      </c>
      <c r="Q31" s="170" t="n"/>
      <c r="R31" s="170" t="n"/>
      <c r="S31" s="170" t="n"/>
      <c r="T31" s="156">
        <f>D31+H31+L31+P31</f>
        <v/>
      </c>
      <c r="U31" s="170" t="n"/>
      <c r="V31" s="156">
        <f>T31-U31</f>
        <v/>
      </c>
      <c r="W31" s="73">
        <f>V31/T31</f>
        <v/>
      </c>
    </row>
    <row r="32" ht="14.5" customHeight="1" s="139">
      <c r="A32" s="159" t="n"/>
      <c r="B32" s="74" t="inlineStr">
        <is>
          <t>1、銷售淨利率（淨利潤／主營業務收入）</t>
        </is>
      </c>
      <c r="C32" s="90" t="n"/>
      <c r="D32" s="156">
        <f>SUM(E32:G32)</f>
        <v/>
      </c>
      <c r="E32" s="169" t="n"/>
      <c r="F32" s="169" t="n"/>
      <c r="G32" s="169" t="n"/>
      <c r="H32" s="156">
        <f>SUM(I32:K32)</f>
        <v/>
      </c>
      <c r="I32" s="169" t="n"/>
      <c r="J32" s="169" t="n"/>
      <c r="K32" s="169" t="n"/>
      <c r="L32" s="156">
        <f>SUM(M32:O32)</f>
        <v/>
      </c>
      <c r="M32" s="169" t="n"/>
      <c r="N32" s="169" t="n"/>
      <c r="O32" s="169" t="n"/>
      <c r="P32" s="156">
        <f>SUM(Q32:S32)</f>
        <v/>
      </c>
      <c r="Q32" s="169" t="n"/>
      <c r="R32" s="169" t="n"/>
      <c r="S32" s="169" t="n"/>
      <c r="T32" s="156">
        <f>D32+H32+L32+P32</f>
        <v/>
      </c>
      <c r="U32" s="170" t="n"/>
      <c r="V32" s="156">
        <f>T32-U32</f>
        <v/>
      </c>
      <c r="W32" s="73">
        <f>V32/T32</f>
        <v/>
      </c>
    </row>
    <row r="33" ht="14.5" customHeight="1" s="139">
      <c r="A33" s="159" t="n"/>
      <c r="B33" s="74" t="inlineStr">
        <is>
          <t>2、總資產周轉率（主營收入/平均總資產）</t>
        </is>
      </c>
      <c r="C33" s="173" t="n"/>
      <c r="D33" s="156">
        <f>SUM(E33:G33)</f>
        <v/>
      </c>
      <c r="E33" s="169" t="n"/>
      <c r="F33" s="169" t="n"/>
      <c r="G33" s="169" t="n"/>
      <c r="H33" s="156">
        <f>SUM(I33:K33)</f>
        <v/>
      </c>
      <c r="I33" s="169" t="n"/>
      <c r="J33" s="169" t="n"/>
      <c r="K33" s="169" t="n"/>
      <c r="L33" s="156">
        <f>SUM(M33:O33)</f>
        <v/>
      </c>
      <c r="M33" s="169" t="n"/>
      <c r="N33" s="169" t="n"/>
      <c r="O33" s="169" t="n"/>
      <c r="P33" s="156">
        <f>SUM(Q33:S33)</f>
        <v/>
      </c>
      <c r="Q33" s="169" t="n"/>
      <c r="R33" s="169" t="n"/>
      <c r="S33" s="169" t="n"/>
      <c r="T33" s="156">
        <f>D33+H33+L33+P33</f>
        <v/>
      </c>
      <c r="U33" s="170" t="n"/>
      <c r="V33" s="156">
        <f>T33-U33</f>
        <v/>
      </c>
      <c r="W33" s="73">
        <f>V33/T33</f>
        <v/>
      </c>
    </row>
    <row r="34" ht="14.5" customHeight="1" s="139">
      <c r="A34" s="159" t="n"/>
      <c r="B34" s="74" t="inlineStr">
        <is>
          <t>3、權益乘數(=資產/權益=1/(1-資產負債率))</t>
        </is>
      </c>
      <c r="C34" s="173" t="n"/>
      <c r="D34" s="156">
        <f>SUM(E34:G34)</f>
        <v/>
      </c>
      <c r="E34" s="169" t="n"/>
      <c r="F34" s="169" t="n"/>
      <c r="G34" s="169" t="n"/>
      <c r="H34" s="156">
        <f>SUM(I34:K34)</f>
        <v/>
      </c>
      <c r="I34" s="169" t="n"/>
      <c r="J34" s="169" t="n"/>
      <c r="K34" s="169" t="n"/>
      <c r="L34" s="156">
        <f>SUM(M34:O34)</f>
        <v/>
      </c>
      <c r="M34" s="169" t="n"/>
      <c r="N34" s="169" t="n"/>
      <c r="O34" s="169" t="n"/>
      <c r="P34" s="156">
        <f>SUM(Q34:S34)</f>
        <v/>
      </c>
      <c r="Q34" s="169" t="n"/>
      <c r="R34" s="169" t="n"/>
      <c r="S34" s="169" t="n"/>
      <c r="T34" s="156">
        <f>D34+H34+L34+P34</f>
        <v/>
      </c>
      <c r="U34" s="170" t="n"/>
      <c r="V34" s="156">
        <f>T34-U34</f>
        <v/>
      </c>
      <c r="W34" s="73">
        <f>V34/T34</f>
        <v/>
      </c>
    </row>
    <row r="35" ht="14.5" customHeight="1" s="139">
      <c r="A35" s="159" t="n"/>
      <c r="B35" s="74" t="inlineStr">
        <is>
          <t>4、權益淨利率=1*2*3</t>
        </is>
      </c>
      <c r="C35" s="90" t="n"/>
      <c r="D35" s="156">
        <f>SUM(E35:G35)</f>
        <v/>
      </c>
      <c r="E35" s="169" t="n"/>
      <c r="F35" s="169" t="n"/>
      <c r="G35" s="169" t="n"/>
      <c r="H35" s="156">
        <f>SUM(I35:K35)</f>
        <v/>
      </c>
      <c r="I35" s="169" t="n"/>
      <c r="J35" s="169" t="n"/>
      <c r="K35" s="169" t="n"/>
      <c r="L35" s="156">
        <f>SUM(M35:O35)</f>
        <v/>
      </c>
      <c r="M35" s="169" t="n"/>
      <c r="N35" s="169" t="n"/>
      <c r="O35" s="169" t="n"/>
      <c r="P35" s="156">
        <f>SUM(Q35:S35)</f>
        <v/>
      </c>
      <c r="Q35" s="169" t="n"/>
      <c r="R35" s="169" t="n"/>
      <c r="S35" s="169" t="n"/>
      <c r="T35" s="156">
        <f>D35+H35+L35+P35</f>
        <v/>
      </c>
      <c r="U35" s="170" t="n"/>
      <c r="V35" s="156">
        <f>T35-U35</f>
        <v/>
      </c>
      <c r="W35" s="73">
        <f>V35/T35</f>
        <v/>
      </c>
    </row>
    <row r="36" ht="14.5" customHeight="1" s="139">
      <c r="A36" s="159" t="n"/>
      <c r="B36" s="104" t="inlineStr">
        <is>
          <t>六、銷售能力指標</t>
        </is>
      </c>
      <c r="C36" s="90" t="n"/>
      <c r="D36" s="156">
        <f>SUM(E36:G36)</f>
        <v/>
      </c>
      <c r="E36" s="170" t="n"/>
      <c r="F36" s="170" t="n"/>
      <c r="G36" s="170" t="n"/>
      <c r="H36" s="156">
        <f>SUM(I36:K36)</f>
        <v/>
      </c>
      <c r="I36" s="170" t="n"/>
      <c r="J36" s="170" t="n"/>
      <c r="K36" s="170" t="n"/>
      <c r="L36" s="156">
        <f>SUM(M36:O36)</f>
        <v/>
      </c>
      <c r="M36" s="170" t="n"/>
      <c r="N36" s="170" t="n"/>
      <c r="O36" s="170" t="n"/>
      <c r="P36" s="156">
        <f>SUM(Q36:S36)</f>
        <v/>
      </c>
      <c r="Q36" s="170" t="n"/>
      <c r="R36" s="170" t="n"/>
      <c r="S36" s="170" t="n"/>
      <c r="T36" s="156">
        <f>D36+H36+L36+P36</f>
        <v/>
      </c>
      <c r="U36" s="170" t="n"/>
      <c r="V36" s="156">
        <f>T36-U36</f>
        <v/>
      </c>
      <c r="W36" s="73">
        <f>V36/T36</f>
        <v/>
      </c>
    </row>
    <row r="37" ht="14.5" customHeight="1" s="139">
      <c r="A37" s="159" t="n"/>
      <c r="B37" s="74" t="inlineStr">
        <is>
          <t>1、銷售成本率(成本不含主營稅金及附加)</t>
        </is>
      </c>
      <c r="C37" s="90" t="n"/>
      <c r="D37" s="156">
        <f>SUM(E37:G37)</f>
        <v/>
      </c>
      <c r="E37" s="169" t="n"/>
      <c r="F37" s="169" t="n"/>
      <c r="G37" s="169" t="n"/>
      <c r="H37" s="156">
        <f>SUM(I37:K37)</f>
        <v/>
      </c>
      <c r="I37" s="169" t="n"/>
      <c r="J37" s="169" t="n"/>
      <c r="K37" s="169" t="n"/>
      <c r="L37" s="156">
        <f>SUM(M37:O37)</f>
        <v/>
      </c>
      <c r="M37" s="169" t="n"/>
      <c r="N37" s="169" t="n"/>
      <c r="O37" s="169" t="n"/>
      <c r="P37" s="156">
        <f>SUM(Q37:S37)</f>
        <v/>
      </c>
      <c r="Q37" s="169" t="n"/>
      <c r="R37" s="169" t="n"/>
      <c r="S37" s="169" t="n"/>
      <c r="T37" s="156">
        <f>D37+H37+L37+P37</f>
        <v/>
      </c>
      <c r="U37" s="170" t="n"/>
      <c r="V37" s="156">
        <f>T37-U37</f>
        <v/>
      </c>
      <c r="W37" s="73">
        <f>V37/T37</f>
        <v/>
      </c>
    </row>
    <row r="38" ht="14.5" customHeight="1" s="139">
      <c r="A38" s="159" t="n"/>
      <c r="B38" s="74" t="inlineStr">
        <is>
          <t xml:space="preserve">2、銷售費用率 </t>
        </is>
      </c>
      <c r="C38" s="90" t="n"/>
      <c r="D38" s="156">
        <f>SUM(E38:G38)</f>
        <v/>
      </c>
      <c r="E38" s="169" t="n"/>
      <c r="F38" s="169" t="n"/>
      <c r="G38" s="169" t="n"/>
      <c r="H38" s="156">
        <f>SUM(I38:K38)</f>
        <v/>
      </c>
      <c r="I38" s="169" t="n"/>
      <c r="J38" s="169" t="n"/>
      <c r="K38" s="169" t="n"/>
      <c r="L38" s="156">
        <f>SUM(M38:O38)</f>
        <v/>
      </c>
      <c r="M38" s="169" t="n"/>
      <c r="N38" s="169" t="n"/>
      <c r="O38" s="169" t="n"/>
      <c r="P38" s="156">
        <f>SUM(Q38:S38)</f>
        <v/>
      </c>
      <c r="Q38" s="169" t="n"/>
      <c r="R38" s="169" t="n"/>
      <c r="S38" s="169" t="n"/>
      <c r="T38" s="156">
        <f>D38+H38+L38+P38</f>
        <v/>
      </c>
      <c r="U38" s="170" t="n"/>
      <c r="V38" s="156">
        <f>T38-U38</f>
        <v/>
      </c>
      <c r="W38" s="73">
        <f>V38/T38</f>
        <v/>
      </c>
    </row>
    <row r="39" ht="14.5" customHeight="1" s="139">
      <c r="A39" s="159" t="n"/>
      <c r="B39" s="74" t="inlineStr">
        <is>
          <t>3、管理費用率</t>
        </is>
      </c>
      <c r="C39" s="90" t="n"/>
      <c r="D39" s="156">
        <f>SUM(E39:G39)</f>
        <v/>
      </c>
      <c r="E39" s="169" t="n"/>
      <c r="F39" s="169" t="n"/>
      <c r="G39" s="169" t="n"/>
      <c r="H39" s="156">
        <f>SUM(I39:K39)</f>
        <v/>
      </c>
      <c r="I39" s="169" t="n"/>
      <c r="J39" s="169" t="n"/>
      <c r="K39" s="169" t="n"/>
      <c r="L39" s="156">
        <f>SUM(M39:O39)</f>
        <v/>
      </c>
      <c r="M39" s="169" t="n"/>
      <c r="N39" s="169" t="n"/>
      <c r="O39" s="169" t="n"/>
      <c r="P39" s="156">
        <f>SUM(Q39:S39)</f>
        <v/>
      </c>
      <c r="Q39" s="169" t="n"/>
      <c r="R39" s="169" t="n"/>
      <c r="S39" s="169" t="n"/>
      <c r="T39" s="156">
        <f>D39+H39+L39+P39</f>
        <v/>
      </c>
      <c r="U39" s="170" t="n"/>
      <c r="V39" s="156">
        <f>T39-U39</f>
        <v/>
      </c>
      <c r="W39" s="73">
        <f>V39/T39</f>
        <v/>
      </c>
    </row>
    <row r="40" ht="14.5" customHeight="1" s="139">
      <c r="A40" s="159" t="n"/>
      <c r="B40" s="74" t="inlineStr">
        <is>
          <t xml:space="preserve">4、財務費用率 </t>
        </is>
      </c>
      <c r="C40" s="90" t="n"/>
      <c r="D40" s="156">
        <f>SUM(E40:G40)</f>
        <v/>
      </c>
      <c r="E40" s="169" t="n"/>
      <c r="F40" s="169" t="n"/>
      <c r="G40" s="169" t="n"/>
      <c r="H40" s="156">
        <f>SUM(I40:K40)</f>
        <v/>
      </c>
      <c r="I40" s="169" t="n"/>
      <c r="J40" s="169" t="n"/>
      <c r="K40" s="169" t="n"/>
      <c r="L40" s="156">
        <f>SUM(M40:O40)</f>
        <v/>
      </c>
      <c r="M40" s="169" t="n"/>
      <c r="N40" s="169" t="n"/>
      <c r="O40" s="169" t="n"/>
      <c r="P40" s="156">
        <f>SUM(Q40:S40)</f>
        <v/>
      </c>
      <c r="Q40" s="169" t="n"/>
      <c r="R40" s="169" t="n"/>
      <c r="S40" s="169" t="n"/>
      <c r="T40" s="156">
        <f>D40+H40+L40+P40</f>
        <v/>
      </c>
      <c r="U40" s="170" t="n"/>
      <c r="V40" s="156">
        <f>T40-U40</f>
        <v/>
      </c>
      <c r="W40" s="73">
        <f>V40/T40</f>
        <v/>
      </c>
    </row>
    <row r="41" ht="14.5" customHeight="1" s="139">
      <c r="A41" s="159" t="n"/>
      <c r="B41" s="74" t="inlineStr">
        <is>
          <t>5、每平方米收入(住宅)</t>
        </is>
      </c>
      <c r="C41" s="173" t="n"/>
      <c r="D41" s="156">
        <f>SUM(E41:G41)</f>
        <v/>
      </c>
      <c r="E41" s="170" t="n"/>
      <c r="F41" s="170" t="n"/>
      <c r="G41" s="170" t="n"/>
      <c r="H41" s="156">
        <f>SUM(I41:K41)</f>
        <v/>
      </c>
      <c r="I41" s="170" t="n"/>
      <c r="J41" s="170" t="n"/>
      <c r="K41" s="170" t="n"/>
      <c r="L41" s="156">
        <f>SUM(M41:O41)</f>
        <v/>
      </c>
      <c r="M41" s="170" t="n"/>
      <c r="N41" s="170" t="n"/>
      <c r="O41" s="170" t="n"/>
      <c r="P41" s="156">
        <f>SUM(Q41:S41)</f>
        <v/>
      </c>
      <c r="Q41" s="170" t="n"/>
      <c r="R41" s="170" t="n"/>
      <c r="S41" s="170" t="n"/>
      <c r="T41" s="156">
        <f>D41+H41+L41+P41</f>
        <v/>
      </c>
      <c r="U41" s="170" t="n"/>
      <c r="V41" s="156">
        <f>T41-U41</f>
        <v/>
      </c>
      <c r="W41" s="73">
        <f>V41/T41</f>
        <v/>
      </c>
    </row>
    <row r="42" ht="14.5" customHeight="1" s="139">
      <c r="A42" s="159" t="n"/>
      <c r="B42" s="74" t="inlineStr">
        <is>
          <t>6、每平方米利潤總額</t>
        </is>
      </c>
      <c r="C42" s="173" t="n"/>
      <c r="D42" s="156">
        <f>SUM(E42:G42)</f>
        <v/>
      </c>
      <c r="E42" s="170" t="n"/>
      <c r="F42" s="170" t="n"/>
      <c r="G42" s="170" t="n"/>
      <c r="H42" s="156">
        <f>SUM(I42:K42)</f>
        <v/>
      </c>
      <c r="I42" s="170" t="n"/>
      <c r="J42" s="170" t="n"/>
      <c r="K42" s="170" t="n"/>
      <c r="L42" s="156">
        <f>SUM(M42:O42)</f>
        <v/>
      </c>
      <c r="M42" s="170" t="n"/>
      <c r="N42" s="170" t="n"/>
      <c r="O42" s="170" t="n"/>
      <c r="P42" s="156">
        <f>SUM(Q42:S42)</f>
        <v/>
      </c>
      <c r="Q42" s="170" t="n"/>
      <c r="R42" s="170" t="n"/>
      <c r="S42" s="170" t="n"/>
      <c r="T42" s="156">
        <f>D42+H42+L42+P42</f>
        <v/>
      </c>
      <c r="U42" s="170" t="n"/>
      <c r="V42" s="156">
        <f>T42-U42</f>
        <v/>
      </c>
      <c r="W42" s="73">
        <f>V42/T42</f>
        <v/>
      </c>
    </row>
    <row r="43" ht="14.5" customHeight="1" s="139">
      <c r="A43" s="159" t="n"/>
      <c r="B43" s="104" t="inlineStr">
        <is>
          <t>七、發展能力指標</t>
        </is>
      </c>
      <c r="C43" s="90" t="n"/>
      <c r="D43" s="156">
        <f>SUM(E43:G43)</f>
        <v/>
      </c>
      <c r="E43" s="170" t="n"/>
      <c r="F43" s="170" t="n"/>
      <c r="G43" s="170" t="n"/>
      <c r="H43" s="156">
        <f>SUM(I43:K43)</f>
        <v/>
      </c>
      <c r="I43" s="170" t="n"/>
      <c r="J43" s="170" t="n"/>
      <c r="K43" s="170" t="n"/>
      <c r="L43" s="156">
        <f>SUM(M43:O43)</f>
        <v/>
      </c>
      <c r="M43" s="170" t="n"/>
      <c r="N43" s="170" t="n"/>
      <c r="O43" s="170" t="n"/>
      <c r="P43" s="156">
        <f>SUM(Q43:S43)</f>
        <v/>
      </c>
      <c r="Q43" s="170" t="n"/>
      <c r="R43" s="170" t="n"/>
      <c r="S43" s="170" t="n"/>
      <c r="T43" s="156">
        <f>D43+H43+L43+P43</f>
        <v/>
      </c>
      <c r="U43" s="170" t="n"/>
      <c r="V43" s="156">
        <f>T43-U43</f>
        <v/>
      </c>
      <c r="W43" s="73">
        <f>V43/T43</f>
        <v/>
      </c>
    </row>
    <row r="44" ht="14.5" customHeight="1" s="139">
      <c r="A44" s="159" t="n"/>
      <c r="B44" s="74" t="inlineStr">
        <is>
          <t>1、銷售增長率</t>
        </is>
      </c>
      <c r="C44" s="90" t="n"/>
      <c r="D44" s="156">
        <f>SUM(E44:G44)</f>
        <v/>
      </c>
      <c r="E44" s="170" t="n"/>
      <c r="F44" s="170" t="n"/>
      <c r="G44" s="170" t="n"/>
      <c r="H44" s="156">
        <f>SUM(I44:K44)</f>
        <v/>
      </c>
      <c r="I44" s="170" t="n"/>
      <c r="J44" s="170" t="n"/>
      <c r="K44" s="170" t="n"/>
      <c r="L44" s="156">
        <f>SUM(M44:O44)</f>
        <v/>
      </c>
      <c r="M44" s="170" t="n"/>
      <c r="N44" s="170" t="n"/>
      <c r="O44" s="170" t="n"/>
      <c r="P44" s="156">
        <f>SUM(Q44:S44)</f>
        <v/>
      </c>
      <c r="Q44" s="170" t="n"/>
      <c r="R44" s="170" t="n"/>
      <c r="S44" s="170" t="n"/>
      <c r="T44" s="156">
        <f>D44+H44+L44+P44</f>
        <v/>
      </c>
      <c r="U44" s="170" t="n"/>
      <c r="V44" s="156">
        <f>T44-U44</f>
        <v/>
      </c>
      <c r="W44" s="73">
        <f>V44/T44</f>
        <v/>
      </c>
    </row>
    <row r="45" ht="116" customHeight="1" s="139">
      <c r="A45" s="159" t="n"/>
      <c r="B45" s="105" t="inlineStr">
        <is>
          <t>2、資本積累率(權益增長額/年初權益)</t>
        </is>
      </c>
      <c r="C45" s="90" t="n"/>
      <c r="D45" s="156">
        <f>SUM(E45:G45)</f>
        <v/>
      </c>
      <c r="E45" s="170" t="n"/>
      <c r="F45" s="170" t="n"/>
      <c r="G45" s="170" t="n"/>
      <c r="H45" s="156">
        <f>SUM(I45:K45)</f>
        <v/>
      </c>
      <c r="I45" s="170" t="n"/>
      <c r="J45" s="170" t="n"/>
      <c r="K45" s="170" t="n"/>
      <c r="L45" s="156">
        <f>SUM(M45:O45)</f>
        <v/>
      </c>
      <c r="M45" s="170" t="n"/>
      <c r="N45" s="170" t="n"/>
      <c r="O45" s="170" t="n"/>
      <c r="P45" s="156">
        <f>SUM(Q45:S45)</f>
        <v/>
      </c>
      <c r="Q45" s="170" t="n"/>
      <c r="R45" s="170" t="n"/>
      <c r="S45" s="170" t="n"/>
      <c r="T45" s="156">
        <f>D45+H45+L45+P45</f>
        <v/>
      </c>
      <c r="U45" s="170" t="n"/>
      <c r="V45" s="156">
        <f>T45-U45</f>
        <v/>
      </c>
      <c r="W45" s="73">
        <f>V45/T45</f>
        <v/>
      </c>
    </row>
    <row r="46" ht="14.5" customHeight="1" s="139">
      <c r="A46" s="159" t="n"/>
      <c r="B46" s="104" t="inlineStr">
        <is>
          <t>八、預算控制能力指標(實際增減額與預算數相比)</t>
        </is>
      </c>
      <c r="C46" s="90" t="n"/>
      <c r="D46" s="156">
        <f>SUM(E46:G46)</f>
        <v/>
      </c>
      <c r="E46" s="170" t="n"/>
      <c r="F46" s="170" t="n"/>
      <c r="G46" s="170" t="n"/>
      <c r="H46" s="156">
        <f>SUM(I46:K46)</f>
        <v/>
      </c>
      <c r="I46" s="170" t="n"/>
      <c r="J46" s="170" t="n"/>
      <c r="K46" s="170" t="n"/>
      <c r="L46" s="156">
        <f>SUM(M46:O46)</f>
        <v/>
      </c>
      <c r="M46" s="170" t="n"/>
      <c r="N46" s="170" t="n"/>
      <c r="O46" s="170" t="n"/>
      <c r="P46" s="156">
        <f>SUM(Q46:S46)</f>
        <v/>
      </c>
      <c r="Q46" s="170" t="n"/>
      <c r="R46" s="170" t="n"/>
      <c r="S46" s="170" t="n"/>
      <c r="T46" s="156">
        <f>D46+H46+L46+P46</f>
        <v/>
      </c>
      <c r="U46" s="170" t="n"/>
      <c r="V46" s="156">
        <f>T46-U46</f>
        <v/>
      </c>
      <c r="W46" s="73">
        <f>V46/T46</f>
        <v/>
      </c>
    </row>
    <row r="47" ht="14.5" customHeight="1" s="139">
      <c r="A47" s="159" t="n"/>
      <c r="B47" s="74" t="inlineStr">
        <is>
          <t>1、銷售收入偏差率</t>
        </is>
      </c>
      <c r="C47" s="90" t="n"/>
      <c r="D47" s="156">
        <f>SUM(E47:G47)</f>
        <v/>
      </c>
      <c r="E47" s="170" t="n"/>
      <c r="F47" s="170" t="n"/>
      <c r="G47" s="170" t="n"/>
      <c r="H47" s="156">
        <f>SUM(I47:K47)</f>
        <v/>
      </c>
      <c r="I47" s="170" t="n"/>
      <c r="J47" s="170" t="n"/>
      <c r="K47" s="170" t="n"/>
      <c r="L47" s="156">
        <f>SUM(M47:O47)</f>
        <v/>
      </c>
      <c r="M47" s="170" t="n"/>
      <c r="N47" s="170" t="n"/>
      <c r="O47" s="170" t="n"/>
      <c r="P47" s="156">
        <f>SUM(Q47:S47)</f>
        <v/>
      </c>
      <c r="Q47" s="170" t="n"/>
      <c r="R47" s="170" t="n"/>
      <c r="S47" s="170" t="n"/>
      <c r="T47" s="156">
        <f>D47+H47+L47+P47</f>
        <v/>
      </c>
      <c r="U47" s="170" t="n"/>
      <c r="V47" s="156">
        <f>T47-U47</f>
        <v/>
      </c>
      <c r="W47" s="73">
        <f>V47/T47</f>
        <v/>
      </c>
    </row>
    <row r="48" ht="14.5" customHeight="1" s="139">
      <c r="A48" s="159" t="n"/>
      <c r="B48" s="74" t="inlineStr">
        <is>
          <t>2、銷售量(面積)偏差率</t>
        </is>
      </c>
      <c r="C48" s="90" t="n"/>
      <c r="D48" s="156">
        <f>SUM(E48:G48)</f>
        <v/>
      </c>
      <c r="E48" s="170" t="n"/>
      <c r="F48" s="170" t="n"/>
      <c r="G48" s="170" t="n"/>
      <c r="H48" s="156">
        <f>SUM(I48:K48)</f>
        <v/>
      </c>
      <c r="I48" s="170" t="n"/>
      <c r="J48" s="170" t="n"/>
      <c r="K48" s="170" t="n"/>
      <c r="L48" s="156">
        <f>SUM(M48:O48)</f>
        <v/>
      </c>
      <c r="M48" s="170" t="n"/>
      <c r="N48" s="170" t="n"/>
      <c r="O48" s="170" t="n"/>
      <c r="P48" s="156">
        <f>SUM(Q48:S48)</f>
        <v/>
      </c>
      <c r="Q48" s="170" t="n"/>
      <c r="R48" s="170" t="n"/>
      <c r="S48" s="170" t="n"/>
      <c r="T48" s="156">
        <f>D48+H48+L48+P48</f>
        <v/>
      </c>
      <c r="U48" s="170" t="n"/>
      <c r="V48" s="156">
        <f>T48-U48</f>
        <v/>
      </c>
      <c r="W48" s="73">
        <f>V48/T48</f>
        <v/>
      </c>
    </row>
    <row r="49" ht="14.5" customHeight="1" s="139">
      <c r="A49" s="159" t="n"/>
      <c r="B49" s="74" t="inlineStr">
        <is>
          <t>3、銷售成本偏差率</t>
        </is>
      </c>
      <c r="C49" s="90" t="n"/>
      <c r="D49" s="156">
        <f>SUM(E49:G49)</f>
        <v/>
      </c>
      <c r="E49" s="170" t="n"/>
      <c r="F49" s="170" t="n"/>
      <c r="G49" s="170" t="n"/>
      <c r="H49" s="156">
        <f>SUM(I49:K49)</f>
        <v/>
      </c>
      <c r="I49" s="170" t="n"/>
      <c r="J49" s="170" t="n"/>
      <c r="K49" s="170" t="n"/>
      <c r="L49" s="156">
        <f>SUM(M49:O49)</f>
        <v/>
      </c>
      <c r="M49" s="170" t="n"/>
      <c r="N49" s="170" t="n"/>
      <c r="O49" s="170" t="n"/>
      <c r="P49" s="156">
        <f>SUM(Q49:S49)</f>
        <v/>
      </c>
      <c r="Q49" s="170" t="n"/>
      <c r="R49" s="170" t="n"/>
      <c r="S49" s="170" t="n"/>
      <c r="T49" s="156">
        <f>D49+H49+L49+P49</f>
        <v/>
      </c>
      <c r="U49" s="170" t="n"/>
      <c r="V49" s="156">
        <f>T49-U49</f>
        <v/>
      </c>
      <c r="W49" s="73">
        <f>V49/T49</f>
        <v/>
      </c>
    </row>
    <row r="50" ht="14.5" customHeight="1" s="139">
      <c r="A50" s="159" t="n"/>
      <c r="B50" s="74" t="inlineStr">
        <is>
          <t>4、銷售費用偏差率</t>
        </is>
      </c>
      <c r="C50" s="177" t="n"/>
      <c r="D50" s="156">
        <f>SUM(E50:G50)</f>
        <v/>
      </c>
      <c r="E50" s="170" t="n"/>
      <c r="F50" s="170" t="n"/>
      <c r="G50" s="170" t="n"/>
      <c r="H50" s="156">
        <f>SUM(I50:K50)</f>
        <v/>
      </c>
      <c r="I50" s="170" t="n"/>
      <c r="J50" s="170" t="n"/>
      <c r="K50" s="170" t="n"/>
      <c r="L50" s="156">
        <f>SUM(M50:O50)</f>
        <v/>
      </c>
      <c r="M50" s="170" t="n"/>
      <c r="N50" s="170" t="n"/>
      <c r="O50" s="170" t="n"/>
      <c r="P50" s="156">
        <f>SUM(Q50:S50)</f>
        <v/>
      </c>
      <c r="Q50" s="170" t="n"/>
      <c r="R50" s="170" t="n"/>
      <c r="S50" s="170" t="n"/>
      <c r="T50" s="156">
        <f>D50+H50+L50+P50</f>
        <v/>
      </c>
      <c r="U50" s="170" t="n"/>
      <c r="V50" s="156">
        <f>T50-U50</f>
        <v/>
      </c>
      <c r="W50" s="73">
        <f>V50/T50</f>
        <v/>
      </c>
    </row>
    <row r="51" ht="14.5" customHeight="1" s="139">
      <c r="A51" s="159" t="n"/>
      <c r="B51" s="74" t="inlineStr">
        <is>
          <t>5、管理費用偏差率</t>
        </is>
      </c>
      <c r="C51" s="90" t="n"/>
      <c r="D51" s="156">
        <f>SUM(E51:G51)</f>
        <v/>
      </c>
      <c r="E51" s="170" t="n"/>
      <c r="F51" s="170" t="n"/>
      <c r="G51" s="170" t="n"/>
      <c r="H51" s="156">
        <f>SUM(I51:K51)</f>
        <v/>
      </c>
      <c r="I51" s="170" t="n"/>
      <c r="J51" s="170" t="n"/>
      <c r="K51" s="170" t="n"/>
      <c r="L51" s="156">
        <f>SUM(M51:O51)</f>
        <v/>
      </c>
      <c r="M51" s="170" t="n"/>
      <c r="N51" s="170" t="n"/>
      <c r="O51" s="170" t="n"/>
      <c r="P51" s="156">
        <f>SUM(Q51:S51)</f>
        <v/>
      </c>
      <c r="Q51" s="170" t="n"/>
      <c r="R51" s="170" t="n"/>
      <c r="S51" s="170" t="n"/>
      <c r="T51" s="156">
        <f>D51+H51+L51+P51</f>
        <v/>
      </c>
      <c r="U51" s="170" t="n"/>
      <c r="V51" s="156">
        <f>T51-U51</f>
        <v/>
      </c>
      <c r="W51" s="73">
        <f>V51/T51</f>
        <v/>
      </c>
    </row>
    <row r="52" ht="14.5" customHeight="1" s="139">
      <c r="A52" s="159" t="n"/>
      <c r="B52" s="74" t="inlineStr">
        <is>
          <t>6、財務費用偏差率</t>
        </is>
      </c>
      <c r="C52" s="90" t="n"/>
      <c r="D52" s="156">
        <f>SUM(E52:G52)</f>
        <v/>
      </c>
      <c r="E52" s="170" t="n"/>
      <c r="F52" s="170" t="n"/>
      <c r="G52" s="170" t="n"/>
      <c r="H52" s="156">
        <f>SUM(I52:K52)</f>
        <v/>
      </c>
      <c r="I52" s="170" t="n"/>
      <c r="J52" s="170" t="n"/>
      <c r="K52" s="170" t="n"/>
      <c r="L52" s="156">
        <f>SUM(M52:O52)</f>
        <v/>
      </c>
      <c r="M52" s="170" t="n"/>
      <c r="N52" s="170" t="n"/>
      <c r="O52" s="170" t="n"/>
      <c r="P52" s="156">
        <f>SUM(Q52:S52)</f>
        <v/>
      </c>
      <c r="Q52" s="170" t="n"/>
      <c r="R52" s="170" t="n"/>
      <c r="S52" s="170" t="n"/>
      <c r="T52" s="156">
        <f>D52+H52+L52+P52</f>
        <v/>
      </c>
      <c r="U52" s="170" t="n"/>
      <c r="V52" s="156">
        <f>T52-U52</f>
        <v/>
      </c>
      <c r="W52" s="73">
        <f>V52/T52</f>
        <v/>
      </c>
    </row>
    <row r="53" ht="14.5" customHeight="1" s="139">
      <c r="A53" s="178" t="n"/>
      <c r="B53" s="78" t="inlineStr">
        <is>
          <t>7、利潤總額偏差率</t>
        </is>
      </c>
      <c r="C53" s="93" t="n"/>
      <c r="D53" s="164">
        <f>SUM(E53:G53)</f>
        <v/>
      </c>
      <c r="E53" s="172" t="n"/>
      <c r="F53" s="172" t="n"/>
      <c r="G53" s="172" t="n"/>
      <c r="H53" s="164">
        <f>SUM(I53:K53)</f>
        <v/>
      </c>
      <c r="I53" s="172" t="n"/>
      <c r="J53" s="172" t="n"/>
      <c r="K53" s="172" t="n"/>
      <c r="L53" s="164">
        <f>SUM(M53:O53)</f>
        <v/>
      </c>
      <c r="M53" s="172" t="n"/>
      <c r="N53" s="172" t="n"/>
      <c r="O53" s="172" t="n"/>
      <c r="P53" s="162">
        <f>SUM(Q53:S53)</f>
        <v/>
      </c>
      <c r="Q53" s="172" t="n"/>
      <c r="R53" s="172" t="n"/>
      <c r="S53" s="172" t="n"/>
      <c r="T53" s="164">
        <f>D53+H53+L53+P53</f>
        <v/>
      </c>
      <c r="U53" s="172" t="n"/>
      <c r="V53" s="164">
        <f>T53-U53</f>
        <v/>
      </c>
      <c r="W53" s="96">
        <f>V53/T53</f>
        <v/>
      </c>
    </row>
    <row r="54" ht="14.5" customHeight="1" s="139">
      <c r="A54" s="107" t="inlineStr">
        <is>
          <t>非財務
指標</t>
        </is>
      </c>
      <c r="B54" s="109" t="inlineStr">
        <is>
          <t>品牌認知度</t>
        </is>
      </c>
      <c r="C54" s="110" t="n"/>
      <c r="D54" s="156">
        <f>SUM(E54:G54)</f>
        <v/>
      </c>
      <c r="E54" s="156" t="n"/>
      <c r="F54" s="156" t="n"/>
      <c r="G54" s="158" t="n"/>
      <c r="H54" s="156">
        <f>SUM(I54:K54)</f>
        <v/>
      </c>
      <c r="I54" s="158" t="n"/>
      <c r="J54" s="158" t="n"/>
      <c r="K54" s="158" t="n"/>
      <c r="L54" s="156">
        <f>SUM(M54:O54)</f>
        <v/>
      </c>
      <c r="M54" s="158" t="n"/>
      <c r="N54" s="158" t="n"/>
      <c r="O54" s="158" t="n"/>
      <c r="P54" s="166">
        <f>SUM(Q54:S54)</f>
        <v/>
      </c>
      <c r="Q54" s="158" t="n"/>
      <c r="R54" s="158" t="n"/>
      <c r="S54" s="158" t="n"/>
      <c r="T54" s="156">
        <f>D54+H54+L54+P54</f>
        <v/>
      </c>
      <c r="U54" s="158" t="n"/>
      <c r="V54" s="156">
        <f>T54-U54</f>
        <v/>
      </c>
      <c r="W54" s="73">
        <f>V54/T54</f>
        <v/>
      </c>
    </row>
    <row r="55" ht="14.5" customHeight="1" s="139">
      <c r="A55" s="159" t="n"/>
      <c r="B55" s="111" t="inlineStr">
        <is>
          <t>主要顧客滿意度</t>
        </is>
      </c>
      <c r="C55" s="112" t="n"/>
      <c r="D55" s="156">
        <f>SUM(E55:G55)</f>
        <v/>
      </c>
      <c r="E55" s="179" t="n"/>
      <c r="F55" s="179" t="n"/>
      <c r="G55" s="161" t="n"/>
      <c r="H55" s="156">
        <f>SUM(I55:K55)</f>
        <v/>
      </c>
      <c r="I55" s="161" t="n"/>
      <c r="J55" s="161" t="n"/>
      <c r="K55" s="161" t="n"/>
      <c r="L55" s="156">
        <f>SUM(M55:O55)</f>
        <v/>
      </c>
      <c r="M55" s="161" t="n"/>
      <c r="N55" s="161" t="n"/>
      <c r="O55" s="161" t="n"/>
      <c r="P55" s="156">
        <f>SUM(Q55:S55)</f>
        <v/>
      </c>
      <c r="Q55" s="161" t="n"/>
      <c r="R55" s="161" t="n"/>
      <c r="S55" s="161" t="n"/>
      <c r="T55" s="156">
        <f>D55+H55+L55+P55</f>
        <v/>
      </c>
      <c r="U55" s="161" t="n"/>
      <c r="V55" s="156">
        <f>T55-U55</f>
        <v/>
      </c>
      <c r="W55" s="73">
        <f>V55/T55</f>
        <v/>
      </c>
    </row>
    <row r="56" ht="14.5" customHeight="1" s="139">
      <c r="A56" s="159" t="n"/>
      <c r="B56" s="111" t="inlineStr">
        <is>
          <t>主要供應商滿意度</t>
        </is>
      </c>
      <c r="C56" s="112" t="n"/>
      <c r="D56" s="156">
        <f>SUM(E56:G56)</f>
        <v/>
      </c>
      <c r="E56" s="179" t="n"/>
      <c r="F56" s="179" t="n"/>
      <c r="G56" s="161" t="n"/>
      <c r="H56" s="156">
        <f>SUM(I56:K56)</f>
        <v/>
      </c>
      <c r="I56" s="161" t="n"/>
      <c r="J56" s="161" t="n"/>
      <c r="K56" s="161" t="n"/>
      <c r="L56" s="156">
        <f>SUM(M56:O56)</f>
        <v/>
      </c>
      <c r="M56" s="161" t="n"/>
      <c r="N56" s="161" t="n"/>
      <c r="O56" s="161" t="n"/>
      <c r="P56" s="156">
        <f>SUM(Q56:S56)</f>
        <v/>
      </c>
      <c r="Q56" s="161" t="n"/>
      <c r="R56" s="161" t="n"/>
      <c r="S56" s="161" t="n"/>
      <c r="T56" s="156">
        <f>D56+H56+L56+P56</f>
        <v/>
      </c>
      <c r="U56" s="161" t="n"/>
      <c r="V56" s="156">
        <f>T56-U56</f>
        <v/>
      </c>
      <c r="W56" s="73">
        <f>V56/T56</f>
        <v/>
      </c>
    </row>
    <row r="57" ht="14.5" customHeight="1" s="139">
      <c r="A57" s="159" t="n"/>
      <c r="B57" s="111" t="inlineStr">
        <is>
          <t>工程進度完成率</t>
        </is>
      </c>
      <c r="C57" s="112" t="n"/>
      <c r="D57" s="156">
        <f>SUM(E57:G57)</f>
        <v/>
      </c>
      <c r="E57" s="179" t="n"/>
      <c r="F57" s="179" t="n"/>
      <c r="G57" s="161" t="n"/>
      <c r="H57" s="156">
        <f>SUM(I57:K57)</f>
        <v/>
      </c>
      <c r="I57" s="161" t="n"/>
      <c r="J57" s="161" t="n"/>
      <c r="K57" s="161" t="n"/>
      <c r="L57" s="156">
        <f>SUM(M57:O57)</f>
        <v/>
      </c>
      <c r="M57" s="161" t="n"/>
      <c r="N57" s="161" t="n"/>
      <c r="O57" s="161" t="n"/>
      <c r="P57" s="156">
        <f>SUM(Q57:S57)</f>
        <v/>
      </c>
      <c r="Q57" s="161" t="n"/>
      <c r="R57" s="161" t="n"/>
      <c r="S57" s="161" t="n"/>
      <c r="T57" s="156">
        <f>D57+H57+L57+P57</f>
        <v/>
      </c>
      <c r="U57" s="161" t="n"/>
      <c r="V57" s="156">
        <f>T57-U57</f>
        <v/>
      </c>
      <c r="W57" s="73">
        <f>V57/T57</f>
        <v/>
      </c>
    </row>
    <row r="58" ht="14.5" customHeight="1" s="139">
      <c r="A58" s="159" t="n"/>
      <c r="B58" s="111" t="inlineStr">
        <is>
          <t>工程品質合格率</t>
        </is>
      </c>
      <c r="C58" s="112" t="n"/>
      <c r="D58" s="156">
        <f>SUM(E58:G58)</f>
        <v/>
      </c>
      <c r="E58" s="179" t="n"/>
      <c r="F58" s="179" t="n"/>
      <c r="G58" s="161" t="n"/>
      <c r="H58" s="156">
        <f>SUM(I58:K58)</f>
        <v/>
      </c>
      <c r="I58" s="161" t="n"/>
      <c r="J58" s="161" t="n"/>
      <c r="K58" s="161" t="n"/>
      <c r="L58" s="156">
        <f>SUM(M58:O58)</f>
        <v/>
      </c>
      <c r="M58" s="161" t="n"/>
      <c r="N58" s="161" t="n"/>
      <c r="O58" s="161" t="n"/>
      <c r="P58" s="156">
        <f>SUM(Q58:S58)</f>
        <v/>
      </c>
      <c r="Q58" s="161" t="n"/>
      <c r="R58" s="161" t="n"/>
      <c r="S58" s="161" t="n"/>
      <c r="T58" s="156">
        <f>D58+H58+L58+P58</f>
        <v/>
      </c>
      <c r="U58" s="161" t="n"/>
      <c r="V58" s="156">
        <f>T58-U58</f>
        <v/>
      </c>
      <c r="W58" s="73">
        <f>V58/T58</f>
        <v/>
      </c>
    </row>
    <row r="59" ht="14.5" customHeight="1" s="139">
      <c r="A59" s="159" t="n"/>
      <c r="B59" s="111" t="inlineStr">
        <is>
          <t>採購及時率</t>
        </is>
      </c>
      <c r="C59" s="112" t="n"/>
      <c r="D59" s="156">
        <f>SUM(E59:G59)</f>
        <v/>
      </c>
      <c r="E59" s="179" t="n"/>
      <c r="F59" s="179" t="n"/>
      <c r="G59" s="161" t="n"/>
      <c r="H59" s="156">
        <f>SUM(I59:K59)</f>
        <v/>
      </c>
      <c r="I59" s="161" t="n"/>
      <c r="J59" s="161" t="n"/>
      <c r="K59" s="161" t="n"/>
      <c r="L59" s="156">
        <f>SUM(M59:O59)</f>
        <v/>
      </c>
      <c r="M59" s="161" t="n"/>
      <c r="N59" s="161" t="n"/>
      <c r="O59" s="161" t="n"/>
      <c r="P59" s="156">
        <f>SUM(Q59:S59)</f>
        <v/>
      </c>
      <c r="Q59" s="161" t="n"/>
      <c r="R59" s="161" t="n"/>
      <c r="S59" s="161" t="n"/>
      <c r="T59" s="156">
        <f>D59+H59+L59+P59</f>
        <v/>
      </c>
      <c r="U59" s="161" t="n"/>
      <c r="V59" s="156">
        <f>T59-U59</f>
        <v/>
      </c>
      <c r="W59" s="73">
        <f>V59/T59</f>
        <v/>
      </c>
    </row>
    <row r="60" ht="14.5" customHeight="1" s="139">
      <c r="A60" s="159" t="n"/>
      <c r="B60" s="111" t="inlineStr">
        <is>
          <t>採購合格率</t>
        </is>
      </c>
      <c r="C60" s="112" t="n"/>
      <c r="D60" s="156">
        <f>SUM(E60:G60)</f>
        <v/>
      </c>
      <c r="E60" s="179" t="n"/>
      <c r="F60" s="179" t="n"/>
      <c r="G60" s="161" t="n"/>
      <c r="H60" s="156">
        <f>SUM(I60:K60)</f>
        <v/>
      </c>
      <c r="I60" s="161" t="n"/>
      <c r="J60" s="161" t="n"/>
      <c r="K60" s="161" t="n"/>
      <c r="L60" s="156">
        <f>SUM(M60:O60)</f>
        <v/>
      </c>
      <c r="M60" s="161" t="n"/>
      <c r="N60" s="161" t="n"/>
      <c r="O60" s="161" t="n"/>
      <c r="P60" s="156">
        <f>SUM(Q60:S60)</f>
        <v/>
      </c>
      <c r="Q60" s="161" t="n"/>
      <c r="R60" s="161" t="n"/>
      <c r="S60" s="161" t="n"/>
      <c r="T60" s="156">
        <f>D60+H60+L60+P60</f>
        <v/>
      </c>
      <c r="U60" s="161" t="n"/>
      <c r="V60" s="156">
        <f>T60-U60</f>
        <v/>
      </c>
      <c r="W60" s="73">
        <f>V60/T60</f>
        <v/>
      </c>
    </row>
    <row r="61" ht="14.5" customHeight="1" s="139">
      <c r="A61" s="159" t="n"/>
      <c r="B61" s="111" t="inlineStr">
        <is>
          <t>各類證照辦理及時率</t>
        </is>
      </c>
      <c r="C61" s="112" t="n"/>
      <c r="D61" s="156">
        <f>SUM(E61:G61)</f>
        <v/>
      </c>
      <c r="E61" s="179" t="n"/>
      <c r="F61" s="179" t="n"/>
      <c r="G61" s="161" t="n"/>
      <c r="H61" s="156">
        <f>SUM(I61:K61)</f>
        <v/>
      </c>
      <c r="I61" s="161" t="n"/>
      <c r="J61" s="161" t="n"/>
      <c r="K61" s="161" t="n"/>
      <c r="L61" s="156">
        <f>SUM(M61:O61)</f>
        <v/>
      </c>
      <c r="M61" s="161" t="n"/>
      <c r="N61" s="161" t="n"/>
      <c r="O61" s="161" t="n"/>
      <c r="P61" s="156">
        <f>SUM(Q61:S61)</f>
        <v/>
      </c>
      <c r="Q61" s="161" t="n"/>
      <c r="R61" s="161" t="n"/>
      <c r="S61" s="161" t="n"/>
      <c r="T61" s="156">
        <f>D61+H61+L61+P61</f>
        <v/>
      </c>
      <c r="U61" s="161" t="n"/>
      <c r="V61" s="156">
        <f>T61-U61</f>
        <v/>
      </c>
      <c r="W61" s="73">
        <f>V61/T61</f>
        <v/>
      </c>
    </row>
    <row r="62" ht="14.5" customHeight="1" s="139">
      <c r="A62" s="159" t="n"/>
      <c r="B62" s="111" t="inlineStr">
        <is>
          <t>工程估算準確率</t>
        </is>
      </c>
      <c r="C62" s="112" t="n"/>
      <c r="D62" s="156">
        <f>SUM(E62:G62)</f>
        <v/>
      </c>
      <c r="E62" s="179" t="n"/>
      <c r="F62" s="179" t="n"/>
      <c r="G62" s="161" t="n"/>
      <c r="H62" s="156">
        <f>SUM(I62:K62)</f>
        <v/>
      </c>
      <c r="I62" s="161" t="n"/>
      <c r="J62" s="161" t="n"/>
      <c r="K62" s="161" t="n"/>
      <c r="L62" s="156">
        <f>SUM(M62:O62)</f>
        <v/>
      </c>
      <c r="M62" s="161" t="n"/>
      <c r="N62" s="161" t="n"/>
      <c r="O62" s="161" t="n"/>
      <c r="P62" s="156">
        <f>SUM(Q62:S62)</f>
        <v/>
      </c>
      <c r="Q62" s="161" t="n"/>
      <c r="R62" s="161" t="n"/>
      <c r="S62" s="161" t="n"/>
      <c r="T62" s="156">
        <f>D62+H62+L62+P62</f>
        <v/>
      </c>
      <c r="U62" s="161" t="n"/>
      <c r="V62" s="156">
        <f>T62-U62</f>
        <v/>
      </c>
      <c r="W62" s="73">
        <f>V62/T62</f>
        <v/>
      </c>
    </row>
    <row r="63" ht="14.5" customHeight="1" s="139">
      <c r="A63" s="159" t="n"/>
      <c r="B63" s="111" t="inlineStr">
        <is>
          <t>索賠處理合理度</t>
        </is>
      </c>
      <c r="C63" s="112" t="n"/>
      <c r="D63" s="156">
        <f>SUM(E63:G63)</f>
        <v/>
      </c>
      <c r="E63" s="179" t="n"/>
      <c r="F63" s="179" t="n"/>
      <c r="G63" s="161" t="n"/>
      <c r="H63" s="156">
        <f>SUM(I63:K63)</f>
        <v/>
      </c>
      <c r="I63" s="161" t="n"/>
      <c r="J63" s="161" t="n"/>
      <c r="K63" s="161" t="n"/>
      <c r="L63" s="156">
        <f>SUM(M63:O63)</f>
        <v/>
      </c>
      <c r="M63" s="161" t="n"/>
      <c r="N63" s="161" t="n"/>
      <c r="O63" s="161" t="n"/>
      <c r="P63" s="156">
        <f>SUM(Q63:S63)</f>
        <v/>
      </c>
      <c r="Q63" s="161" t="n"/>
      <c r="R63" s="161" t="n"/>
      <c r="S63" s="161" t="n"/>
      <c r="T63" s="156">
        <f>D63+H63+L63+P63</f>
        <v/>
      </c>
      <c r="U63" s="161" t="n"/>
      <c r="V63" s="156">
        <f>T63-U63</f>
        <v/>
      </c>
      <c r="W63" s="73">
        <f>V63/T63</f>
        <v/>
      </c>
    </row>
    <row r="64" ht="14.5" customHeight="1" s="139">
      <c r="A64" s="159" t="n"/>
      <c r="B64" s="111" t="inlineStr">
        <is>
          <t>合同履約率</t>
        </is>
      </c>
      <c r="C64" s="112" t="n"/>
      <c r="D64" s="156">
        <f>SUM(E64:G64)</f>
        <v/>
      </c>
      <c r="E64" s="179" t="n"/>
      <c r="F64" s="179" t="n"/>
      <c r="G64" s="161" t="n"/>
      <c r="H64" s="156">
        <f>SUM(I64:K64)</f>
        <v/>
      </c>
      <c r="I64" s="161" t="n"/>
      <c r="J64" s="161" t="n"/>
      <c r="K64" s="161" t="n"/>
      <c r="L64" s="156">
        <f>SUM(M64:O64)</f>
        <v/>
      </c>
      <c r="M64" s="161" t="n"/>
      <c r="N64" s="161" t="n"/>
      <c r="O64" s="161" t="n"/>
      <c r="P64" s="156">
        <f>SUM(Q64:S64)</f>
        <v/>
      </c>
      <c r="Q64" s="161" t="n"/>
      <c r="R64" s="161" t="n"/>
      <c r="S64" s="161" t="n"/>
      <c r="T64" s="156">
        <f>D64+H64+L64+P64</f>
        <v/>
      </c>
      <c r="U64" s="161" t="n"/>
      <c r="V64" s="156">
        <f>T64-U64</f>
        <v/>
      </c>
      <c r="W64" s="73">
        <f>V64/T64</f>
        <v/>
      </c>
    </row>
    <row r="65" ht="14.5" customHeight="1" s="139">
      <c r="A65" s="159" t="n"/>
      <c r="B65" s="111" t="inlineStr">
        <is>
          <t>任職資格達標率</t>
        </is>
      </c>
      <c r="C65" s="112" t="n"/>
      <c r="D65" s="156">
        <f>SUM(E65:G65)</f>
        <v/>
      </c>
      <c r="E65" s="179" t="n"/>
      <c r="F65" s="179" t="n"/>
      <c r="G65" s="161" t="n"/>
      <c r="H65" s="156">
        <f>SUM(I65:K65)</f>
        <v/>
      </c>
      <c r="I65" s="161" t="n"/>
      <c r="J65" s="161" t="n"/>
      <c r="K65" s="161" t="n"/>
      <c r="L65" s="156">
        <f>SUM(M65:O65)</f>
        <v/>
      </c>
      <c r="M65" s="161" t="n"/>
      <c r="N65" s="161" t="n"/>
      <c r="O65" s="161" t="n"/>
      <c r="P65" s="156">
        <f>SUM(Q65:S65)</f>
        <v/>
      </c>
      <c r="Q65" s="161" t="n"/>
      <c r="R65" s="161" t="n"/>
      <c r="S65" s="161" t="n"/>
      <c r="T65" s="156">
        <f>D65+H65+L65+P65</f>
        <v/>
      </c>
      <c r="U65" s="161" t="n"/>
      <c r="V65" s="156">
        <f>T65-U65</f>
        <v/>
      </c>
      <c r="W65" s="73">
        <f>V65/T65</f>
        <v/>
      </c>
    </row>
    <row r="66" ht="14.5" customHeight="1" s="139">
      <c r="A66" s="159" t="n"/>
      <c r="B66" s="111" t="inlineStr">
        <is>
          <t>員工流失率</t>
        </is>
      </c>
      <c r="C66" s="112" t="n"/>
      <c r="D66" s="156">
        <f>SUM(E66:G66)</f>
        <v/>
      </c>
      <c r="E66" s="179" t="n"/>
      <c r="F66" s="179" t="n"/>
      <c r="G66" s="161" t="n"/>
      <c r="H66" s="156">
        <f>SUM(I66:K66)</f>
        <v/>
      </c>
      <c r="I66" s="161" t="n"/>
      <c r="J66" s="161" t="n"/>
      <c r="K66" s="161" t="n"/>
      <c r="L66" s="156">
        <f>SUM(M66:O66)</f>
        <v/>
      </c>
      <c r="M66" s="161" t="n"/>
      <c r="N66" s="161" t="n"/>
      <c r="O66" s="161" t="n"/>
      <c r="P66" s="156">
        <f>SUM(Q66:S66)</f>
        <v/>
      </c>
      <c r="Q66" s="161" t="n"/>
      <c r="R66" s="161" t="n"/>
      <c r="S66" s="161" t="n"/>
      <c r="T66" s="156">
        <f>D66+H66+L66+P66</f>
        <v/>
      </c>
      <c r="U66" s="161" t="n"/>
      <c r="V66" s="156">
        <f>T66-U66</f>
        <v/>
      </c>
      <c r="W66" s="73">
        <f>V66/T66</f>
        <v/>
      </c>
    </row>
    <row r="67" ht="14.5" customHeight="1" s="139">
      <c r="A67" s="159" t="n"/>
      <c r="B67" s="111" t="inlineStr">
        <is>
          <t>員工滿意度</t>
        </is>
      </c>
      <c r="C67" s="112" t="n"/>
      <c r="D67" s="156">
        <f>SUM(E67:G67)</f>
        <v/>
      </c>
      <c r="E67" s="179" t="n"/>
      <c r="F67" s="179" t="n"/>
      <c r="G67" s="161" t="n"/>
      <c r="H67" s="156">
        <f>SUM(I67:K67)</f>
        <v/>
      </c>
      <c r="I67" s="161" t="n"/>
      <c r="J67" s="161" t="n"/>
      <c r="K67" s="161" t="n"/>
      <c r="L67" s="156">
        <f>SUM(M67:O67)</f>
        <v/>
      </c>
      <c r="M67" s="161" t="n"/>
      <c r="N67" s="161" t="n"/>
      <c r="O67" s="161" t="n"/>
      <c r="P67" s="156">
        <f>SUM(Q67:S67)</f>
        <v/>
      </c>
      <c r="Q67" s="161" t="n"/>
      <c r="R67" s="161" t="n"/>
      <c r="S67" s="161" t="n"/>
      <c r="T67" s="156">
        <f>D67+H67+L67+P67</f>
        <v/>
      </c>
      <c r="U67" s="161" t="n"/>
      <c r="V67" s="156">
        <f>T67-U67</f>
        <v/>
      </c>
      <c r="W67" s="73">
        <f>V67/T67</f>
        <v/>
      </c>
    </row>
    <row r="68" ht="14.5" customHeight="1" s="139">
      <c r="A68" s="159" t="n"/>
      <c r="B68" s="111" t="inlineStr">
        <is>
          <t>部門協調滿意度</t>
        </is>
      </c>
      <c r="C68" s="112" t="n"/>
      <c r="D68" s="156">
        <f>SUM(E68:G68)</f>
        <v/>
      </c>
      <c r="E68" s="179" t="n"/>
      <c r="F68" s="179" t="n"/>
      <c r="G68" s="161" t="n"/>
      <c r="H68" s="156">
        <f>SUM(I68:K68)</f>
        <v/>
      </c>
      <c r="I68" s="161" t="n"/>
      <c r="J68" s="161" t="n"/>
      <c r="K68" s="161" t="n"/>
      <c r="L68" s="156">
        <f>SUM(M68:O68)</f>
        <v/>
      </c>
      <c r="M68" s="161" t="n"/>
      <c r="N68" s="161" t="n"/>
      <c r="O68" s="161" t="n"/>
      <c r="P68" s="156">
        <f>SUM(Q68:S68)</f>
        <v/>
      </c>
      <c r="Q68" s="161" t="n"/>
      <c r="R68" s="161" t="n"/>
      <c r="S68" s="161" t="n"/>
      <c r="T68" s="156">
        <f>D68+H68+L68+P68</f>
        <v/>
      </c>
      <c r="U68" s="161" t="n"/>
      <c r="V68" s="156">
        <f>T68-U68</f>
        <v/>
      </c>
      <c r="W68" s="73">
        <f>V68/T68</f>
        <v/>
      </c>
    </row>
    <row r="69" ht="14.5" customHeight="1" s="139">
      <c r="A69" s="178" t="n"/>
      <c r="B69" s="114" t="inlineStr">
        <is>
          <t>重要任務按時完成率</t>
        </is>
      </c>
      <c r="C69" s="115" t="n"/>
      <c r="D69" s="162">
        <f>SUM(E69:G69)</f>
        <v/>
      </c>
      <c r="E69" s="180" t="n"/>
      <c r="F69" s="180" t="n"/>
      <c r="G69" s="181" t="n"/>
      <c r="H69" s="162">
        <f>SUM(I69:K69)</f>
        <v/>
      </c>
      <c r="I69" s="181" t="n"/>
      <c r="J69" s="181" t="n"/>
      <c r="K69" s="181" t="n"/>
      <c r="L69" s="162">
        <f>SUM(M69:O69)</f>
        <v/>
      </c>
      <c r="M69" s="181" t="n"/>
      <c r="N69" s="181" t="n"/>
      <c r="O69" s="181" t="n"/>
      <c r="P69" s="162">
        <f>SUM(Q69:S69)</f>
        <v/>
      </c>
      <c r="Q69" s="181" t="n"/>
      <c r="R69" s="181" t="n"/>
      <c r="S69" s="181" t="n"/>
      <c r="T69" s="162">
        <f>D69+H69+L69+P69</f>
        <v/>
      </c>
      <c r="U69" s="165" t="n"/>
      <c r="V69" s="162">
        <f>T69-U69</f>
        <v/>
      </c>
      <c r="W69" s="84">
        <f>V69/T69</f>
        <v/>
      </c>
    </row>
    <row r="70" ht="14.5" customHeight="1" s="139">
      <c r="A70" s="118" t="inlineStr">
        <is>
          <t>修正
指標</t>
        </is>
      </c>
      <c r="B70" s="119" t="inlineStr">
        <is>
          <t>預算準確率</t>
        </is>
      </c>
      <c r="C70" s="120" t="n"/>
      <c r="D70" s="182">
        <f>SUM(E70:G70)</f>
        <v/>
      </c>
      <c r="E70" s="162" t="n"/>
      <c r="F70" s="162" t="n"/>
      <c r="G70" s="183" t="n"/>
      <c r="H70" s="182">
        <f>SUM(I70:K70)</f>
        <v/>
      </c>
      <c r="I70" s="183" t="n"/>
      <c r="J70" s="183" t="n"/>
      <c r="K70" s="183" t="n"/>
      <c r="L70" s="182">
        <f>SUM(M70:O70)</f>
        <v/>
      </c>
      <c r="M70" s="183" t="n"/>
      <c r="N70" s="183" t="n"/>
      <c r="O70" s="183" t="n"/>
      <c r="P70" s="182">
        <f>SUM(Q70:S70)</f>
        <v/>
      </c>
      <c r="Q70" s="183" t="n"/>
      <c r="R70" s="183" t="n"/>
      <c r="S70" s="183" t="n"/>
      <c r="T70" s="182">
        <f>D70+H70+L70+P70</f>
        <v/>
      </c>
      <c r="U70" s="184" t="n"/>
      <c r="V70" s="182">
        <f>T70-U70</f>
        <v/>
      </c>
      <c r="W70" s="124">
        <f>V70/T70</f>
        <v/>
      </c>
    </row>
    <row r="71" ht="14.5" customHeight="1" s="139">
      <c r="A71" s="185" t="inlineStr">
        <is>
          <t>否決
指標</t>
        </is>
      </c>
      <c r="B71" s="128" t="inlineStr">
        <is>
          <t>重大安全事故</t>
        </is>
      </c>
      <c r="C71" s="129" t="n"/>
      <c r="D71" s="156">
        <f>SUM(E71:G71)</f>
        <v/>
      </c>
      <c r="E71" s="166" t="n"/>
      <c r="F71" s="166" t="n"/>
      <c r="G71" s="186" t="n"/>
      <c r="H71" s="156">
        <f>SUM(I71:K71)</f>
        <v/>
      </c>
      <c r="I71" s="186" t="n"/>
      <c r="J71" s="186" t="n"/>
      <c r="K71" s="186" t="n"/>
      <c r="L71" s="156">
        <f>SUM(M71:O71)</f>
        <v/>
      </c>
      <c r="M71" s="186" t="n"/>
      <c r="N71" s="186" t="n"/>
      <c r="O71" s="186" t="n"/>
      <c r="P71" s="156">
        <f>SUM(Q71:S71)</f>
        <v/>
      </c>
      <c r="Q71" s="186" t="n"/>
      <c r="R71" s="186" t="n"/>
      <c r="S71" s="186" t="n"/>
      <c r="T71" s="156">
        <f>D71+H71+L71+P71</f>
        <v/>
      </c>
      <c r="U71" s="158" t="n"/>
      <c r="V71" s="156">
        <f>T71-U71</f>
        <v/>
      </c>
      <c r="W71" s="73">
        <f>V71/T71</f>
        <v/>
      </c>
    </row>
    <row r="72" ht="14.5" customHeight="1" s="139">
      <c r="A72" s="159" t="n"/>
      <c r="B72" s="111" t="inlineStr">
        <is>
          <t>重大品質事故</t>
        </is>
      </c>
      <c r="C72" s="112" t="n"/>
      <c r="D72" s="156">
        <f>SUM(E72:G72)</f>
        <v/>
      </c>
      <c r="E72" s="179" t="n"/>
      <c r="F72" s="179" t="n"/>
      <c r="G72" s="161" t="n"/>
      <c r="H72" s="156">
        <f>SUM(I72:K72)</f>
        <v/>
      </c>
      <c r="I72" s="161" t="n"/>
      <c r="J72" s="161" t="n"/>
      <c r="K72" s="161" t="n"/>
      <c r="L72" s="156">
        <f>SUM(M72:O72)</f>
        <v/>
      </c>
      <c r="M72" s="161" t="n"/>
      <c r="N72" s="161" t="n"/>
      <c r="O72" s="161" t="n"/>
      <c r="P72" s="156">
        <f>SUM(Q72:S72)</f>
        <v/>
      </c>
      <c r="Q72" s="161" t="n"/>
      <c r="R72" s="161" t="n"/>
      <c r="S72" s="161" t="n"/>
      <c r="T72" s="156">
        <f>D72+H72+L72+P72</f>
        <v/>
      </c>
      <c r="U72" s="161" t="n"/>
      <c r="V72" s="156">
        <f>T72-U72</f>
        <v/>
      </c>
      <c r="W72" s="73">
        <f>V72/T72</f>
        <v/>
      </c>
    </row>
    <row r="73" ht="14.5" customHeight="1" s="139">
      <c r="A73" s="159" t="n"/>
      <c r="B73" s="111" t="inlineStr">
        <is>
          <t>重大舞弊事故</t>
        </is>
      </c>
      <c r="C73" s="112" t="n"/>
      <c r="D73" s="156">
        <f>SUM(E73:G73)</f>
        <v/>
      </c>
      <c r="E73" s="179" t="n"/>
      <c r="F73" s="179" t="n"/>
      <c r="G73" s="161" t="n"/>
      <c r="H73" s="156">
        <f>SUM(I73:K73)</f>
        <v/>
      </c>
      <c r="I73" s="161" t="n"/>
      <c r="J73" s="161" t="n"/>
      <c r="K73" s="161" t="n"/>
      <c r="L73" s="156">
        <f>SUM(M73:O73)</f>
        <v/>
      </c>
      <c r="M73" s="161" t="n"/>
      <c r="N73" s="161" t="n"/>
      <c r="O73" s="161" t="n"/>
      <c r="P73" s="156">
        <f>SUM(Q73:S73)</f>
        <v/>
      </c>
      <c r="Q73" s="161" t="n"/>
      <c r="R73" s="161" t="n"/>
      <c r="S73" s="161" t="n"/>
      <c r="T73" s="156">
        <f>D73+H73+L73+P73</f>
        <v/>
      </c>
      <c r="U73" s="161" t="n"/>
      <c r="V73" s="156">
        <f>T73-U73</f>
        <v/>
      </c>
      <c r="W73" s="73">
        <f>V73/T73</f>
        <v/>
      </c>
    </row>
    <row r="74" ht="14.5" customHeight="1" s="139">
      <c r="A74" s="159" t="n"/>
      <c r="B74" s="111" t="inlineStr">
        <is>
          <t>重大資產損失、損壞</t>
        </is>
      </c>
      <c r="C74" s="112" t="n"/>
      <c r="D74" s="156">
        <f>SUM(E74:G74)</f>
        <v/>
      </c>
      <c r="E74" s="179" t="n"/>
      <c r="F74" s="179" t="n"/>
      <c r="G74" s="161" t="n"/>
      <c r="H74" s="156">
        <f>SUM(I74:K74)</f>
        <v/>
      </c>
      <c r="I74" s="161" t="n"/>
      <c r="J74" s="161" t="n"/>
      <c r="K74" s="161" t="n"/>
      <c r="L74" s="156">
        <f>SUM(M74:O74)</f>
        <v/>
      </c>
      <c r="M74" s="161" t="n"/>
      <c r="N74" s="161" t="n"/>
      <c r="O74" s="161" t="n"/>
      <c r="P74" s="156">
        <f>SUM(Q74:S74)</f>
        <v/>
      </c>
      <c r="Q74" s="161" t="n"/>
      <c r="R74" s="161" t="n"/>
      <c r="S74" s="161" t="n"/>
      <c r="T74" s="156">
        <f>D74+H74+L74+P74</f>
        <v/>
      </c>
      <c r="U74" s="161" t="n"/>
      <c r="V74" s="156">
        <f>T74-U74</f>
        <v/>
      </c>
      <c r="W74" s="73">
        <f>V74/T74</f>
        <v/>
      </c>
    </row>
    <row r="75" ht="15" customHeight="1" s="139" thickBot="1">
      <c r="A75" s="187" t="n"/>
      <c r="B75" s="131" t="inlineStr">
        <is>
          <t>重大集體投訴、討薪事件</t>
        </is>
      </c>
      <c r="C75" s="132" t="n"/>
      <c r="D75" s="188">
        <f>SUM(E75:G75)</f>
        <v/>
      </c>
      <c r="E75" s="189" t="n"/>
      <c r="F75" s="189" t="n"/>
      <c r="G75" s="190" t="n"/>
      <c r="H75" s="188">
        <f>SUM(I75:K75)</f>
        <v/>
      </c>
      <c r="I75" s="190" t="n"/>
      <c r="J75" s="190" t="n"/>
      <c r="K75" s="190" t="n"/>
      <c r="L75" s="188">
        <f>SUM(M75:O75)</f>
        <v/>
      </c>
      <c r="M75" s="190" t="n"/>
      <c r="N75" s="190" t="n"/>
      <c r="O75" s="190" t="n"/>
      <c r="P75" s="188">
        <f>SUM(Q75:S75)</f>
        <v/>
      </c>
      <c r="Q75" s="190" t="n"/>
      <c r="R75" s="190" t="n"/>
      <c r="S75" s="190" t="n"/>
      <c r="T75" s="188">
        <f>D75+H75+L75+P75</f>
        <v/>
      </c>
      <c r="U75" s="190" t="n"/>
      <c r="V75" s="188">
        <f>T75-U75</f>
        <v/>
      </c>
      <c r="W75" s="136">
        <f>V75/T75</f>
        <v/>
      </c>
    </row>
    <row r="76" ht="14.5" customHeight="1" s="139">
      <c r="A76" s="59" t="n"/>
      <c r="B76" s="137" t="inlineStr">
        <is>
          <t>編制日期：</t>
        </is>
      </c>
      <c r="C76" s="59" t="n"/>
      <c r="D76" s="138" t="n"/>
      <c r="E76" s="138" t="n"/>
      <c r="F76" s="138" t="n"/>
      <c r="G76" s="138" t="inlineStr">
        <is>
          <t>審批人：</t>
        </is>
      </c>
      <c r="H76" s="138" t="n"/>
      <c r="I76" s="138" t="n"/>
      <c r="J76" s="138" t="n"/>
      <c r="K76" s="138" t="n"/>
      <c r="L76" s="138" t="n"/>
      <c r="M76" s="138" t="n"/>
      <c r="N76" s="138" t="n"/>
      <c r="O76" s="138" t="n"/>
      <c r="P76" s="138" t="inlineStr">
        <is>
          <t>審核人：</t>
        </is>
      </c>
      <c r="Q76" s="138" t="n"/>
      <c r="R76" s="138" t="n"/>
      <c r="S76" s="138" t="n"/>
      <c r="T76" s="138" t="n"/>
      <c r="U76" s="138" t="inlineStr">
        <is>
          <t>編制人：</t>
        </is>
      </c>
      <c r="V76" s="138" t="n"/>
      <c r="W76" s="59" t="n"/>
    </row>
    <row r="77" ht="14.5" customHeight="1" s="139">
      <c r="A77" s="59" t="inlineStr">
        <is>
          <t>備註：</t>
        </is>
      </c>
      <c r="B77" s="137" t="inlineStr">
        <is>
          <t>1、非財務類關鍵指標在制定年度行動計畫時確定。</t>
        </is>
      </c>
      <c r="C77" s="59" t="n"/>
      <c r="D77" s="138" t="n"/>
      <c r="E77" s="138" t="n"/>
      <c r="F77" s="138" t="n"/>
      <c r="G77" s="138" t="n"/>
      <c r="H77" s="138" t="n"/>
      <c r="I77" s="138" t="n"/>
      <c r="J77" s="138" t="n"/>
      <c r="K77" s="138" t="n"/>
      <c r="L77" s="138" t="n"/>
      <c r="M77" s="138" t="n"/>
      <c r="N77" s="138" t="n"/>
      <c r="O77" s="138" t="n"/>
      <c r="P77" s="138" t="n"/>
      <c r="Q77" s="138" t="n"/>
      <c r="R77" s="138" t="n"/>
      <c r="S77" s="138" t="n"/>
      <c r="T77" s="138" t="n"/>
      <c r="U77" s="138" t="n"/>
      <c r="V77" s="138" t="n"/>
      <c r="W77" s="59" t="n"/>
    </row>
    <row r="78" ht="14.5" customHeight="1" s="139">
      <c r="A78" s="59" t="n"/>
      <c r="B78" s="137" t="inlineStr">
        <is>
          <t>2、財務類指標全部根據財務預算表自動計算得出。</t>
        </is>
      </c>
      <c r="C78" s="59" t="n"/>
      <c r="D78" s="138" t="n"/>
      <c r="E78" s="138" t="n"/>
      <c r="F78" s="138" t="n"/>
      <c r="G78" s="138" t="n"/>
      <c r="H78" s="138" t="n"/>
      <c r="I78" s="138" t="n"/>
      <c r="J78" s="138" t="n"/>
      <c r="K78" s="138" t="n"/>
      <c r="L78" s="138" t="n"/>
      <c r="M78" s="138" t="n"/>
      <c r="N78" s="138" t="n"/>
      <c r="O78" s="138" t="n"/>
      <c r="P78" s="138" t="n"/>
      <c r="Q78" s="138" t="n"/>
      <c r="R78" s="138" t="n"/>
      <c r="S78" s="138" t="n"/>
      <c r="T78" s="138" t="n"/>
      <c r="U78" s="138" t="n"/>
      <c r="V78" s="138" t="n"/>
      <c r="W78" s="59" t="n"/>
    </row>
    <row r="79" ht="14.5" customHeight="1" s="139">
      <c r="A79" s="59" t="n"/>
      <c r="B79" s="137" t="inlineStr">
        <is>
          <t>3、連續兩年編制後應計算主要的對比指標。</t>
        </is>
      </c>
      <c r="C79" s="59" t="n"/>
      <c r="D79" s="138" t="n"/>
      <c r="E79" s="138" t="n"/>
      <c r="F79" s="138" t="n"/>
      <c r="G79" s="138" t="n"/>
      <c r="H79" s="138" t="n"/>
      <c r="I79" s="138" t="n"/>
      <c r="J79" s="138" t="n"/>
      <c r="K79" s="138" t="n"/>
      <c r="L79" s="138" t="n"/>
      <c r="M79" s="138" t="n"/>
      <c r="N79" s="138" t="n"/>
      <c r="O79" s="138" t="n"/>
      <c r="P79" s="138" t="n"/>
      <c r="Q79" s="138" t="n"/>
      <c r="R79" s="138" t="n"/>
      <c r="S79" s="138" t="n"/>
      <c r="T79" s="138" t="n"/>
      <c r="U79" s="138" t="n"/>
      <c r="V79" s="138" t="n"/>
      <c r="W79" s="59" t="n"/>
    </row>
  </sheetData>
  <mergeCells count="4">
    <mergeCell ref="A4:A53"/>
    <mergeCell ref="A1:W1"/>
    <mergeCell ref="A54:A69"/>
    <mergeCell ref="A71:A75"/>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
  <dcterms:created xsi:type="dcterms:W3CDTF">2019-02-18T08:26:29Z</dcterms:created>
  <dcterms:modified xsi:type="dcterms:W3CDTF">2025-07-21T10:01:06Z</dcterms:modified>
  <cp:lastModifiedBy/>
</cp:coreProperties>
</file>