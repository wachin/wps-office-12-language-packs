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>
    <definedName name="Add_Pmt">Sheet1!$F$15:$G$24</definedName>
    <definedName name="Beg_Bal">Sheet1!$D$15:$D$24</definedName>
    <definedName name="Interest_Rate">Sheet1!$D$6</definedName>
    <definedName name="Loan_Amount">Sheet1!$D$5</definedName>
    <definedName name="Loan_Years">Sheet1!$D$7</definedName>
    <definedName name="Num_Pmt_Per_Year">Sheet1!$D$9</definedName>
    <definedName name="Optional_Extra_Pmt">Sheet1!$D$11</definedName>
    <definedName name="Pay_Num">Sheet1!$A$15:$B$24</definedName>
    <definedName name="Pmt_Due">Sheet1!$E$15:$E$24</definedName>
    <definedName name="Pmt_Per_Period">Sheet1!$J$6</definedName>
    <definedName name="Principal">Sheet1!$I$15:$J$24</definedName>
  </definedNames>
  <calcPr calcId="162913" fullCalcOnLoad="1"/>
</workbook>
</file>

<file path=xl/styles.xml><?xml version="1.0" encoding="utf-8"?>
<styleSheet xmlns="http://schemas.openxmlformats.org/spreadsheetml/2006/main">
  <numFmts count="4">
    <numFmt numFmtId="164" formatCode="\$#,##0.00_ ;[Red]\(\$#,##0.00\)"/>
    <numFmt numFmtId="165" formatCode="0_);[Red]\(0\)"/>
    <numFmt numFmtId="166" formatCode="dd/mmm/yy;\-;\-;@"/>
    <numFmt numFmtId="167" formatCode="0.00_);[Red]\(0.00\)"/>
  </numFmts>
  <fonts count="7">
    <font>
      <name val="等线"/>
      <charset val="134"/>
      <family val="2"/>
      <color theme="1"/>
      <sz val="11"/>
      <scheme val="minor"/>
    </font>
    <font>
      <name val="等线"/>
      <charset val="134"/>
      <family val="2"/>
      <color theme="1"/>
      <sz val="11"/>
      <scheme val="minor"/>
    </font>
    <font>
      <name val="Arial"/>
      <family val="2"/>
      <b val="1"/>
      <sz val="16"/>
    </font>
    <font>
      <name val="等线"/>
      <charset val="134"/>
      <family val="2"/>
      <sz val="9"/>
      <scheme val="minor"/>
    </font>
    <font>
      <name val="Arial"/>
      <family val="2"/>
      <b val="1"/>
      <color indexed="9"/>
      <sz val="10"/>
    </font>
    <font>
      <name val="Arial"/>
      <family val="2"/>
      <b val="1"/>
      <color indexed="8"/>
      <sz val="10"/>
    </font>
    <font>
      <name val="Arial"/>
      <family val="2"/>
      <b val="1"/>
      <sz val="10"/>
    </font>
  </fonts>
  <fills count="5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9">
    <border>
      <left/>
      <right/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73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4" fillId="2" borderId="5" applyAlignment="1" pivotButton="0" quotePrefix="0" xfId="0">
      <alignment horizontal="center" vertical="center"/>
    </xf>
    <xf numFmtId="0" fontId="0" fillId="0" borderId="5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4" applyAlignment="1" pivotButton="0" quotePrefix="0" xfId="0">
      <alignment vertical="center"/>
    </xf>
    <xf numFmtId="164" fontId="0" fillId="0" borderId="0" applyAlignment="1" applyProtection="1" pivotButton="0" quotePrefix="0" xfId="0">
      <alignment vertical="center"/>
      <protection locked="0" hidden="0"/>
    </xf>
    <xf numFmtId="164" fontId="0" fillId="0" borderId="6" applyAlignment="1" applyProtection="1" pivotButton="0" quotePrefix="0" xfId="0">
      <alignment vertical="center"/>
      <protection locked="0" hidden="0"/>
    </xf>
    <xf numFmtId="0" fontId="0" fillId="0" borderId="7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9" fontId="0" fillId="0" borderId="9" applyAlignment="1" applyProtection="1" pivotButton="0" quotePrefix="0" xfId="1">
      <alignment vertical="center"/>
      <protection locked="0" hidden="0"/>
    </xf>
    <xf numFmtId="9" fontId="0" fillId="0" borderId="8" applyAlignment="1" applyProtection="1" pivotButton="0" quotePrefix="0" xfId="1">
      <alignment vertical="center"/>
      <protection locked="0" hidden="0"/>
    </xf>
    <xf numFmtId="9" fontId="0" fillId="0" borderId="3" applyAlignment="1" applyProtection="1" pivotButton="0" quotePrefix="0" xfId="1">
      <alignment vertical="center"/>
      <protection locked="0" hidden="0"/>
    </xf>
    <xf numFmtId="9" fontId="0" fillId="0" borderId="4" applyAlignment="1" applyProtection="1" pivotButton="0" quotePrefix="0" xfId="1">
      <alignment vertical="center"/>
      <protection locked="0" hidden="0"/>
    </xf>
    <xf numFmtId="164" fontId="0" fillId="0" borderId="3" applyAlignment="1" applyProtection="1" pivotButton="0" quotePrefix="0" xfId="0">
      <alignment vertical="center"/>
      <protection locked="0" hidden="0"/>
    </xf>
    <xf numFmtId="164" fontId="0" fillId="0" borderId="4" applyAlignment="1" applyProtection="1" pivotButton="0" quotePrefix="0" xfId="0">
      <alignment vertical="center"/>
      <protection locked="0" hidden="0"/>
    </xf>
    <xf numFmtId="165" fontId="0" fillId="0" borderId="3" applyAlignment="1" applyProtection="1" pivotButton="0" quotePrefix="0" xfId="0">
      <alignment vertical="center"/>
      <protection locked="0" hidden="0"/>
    </xf>
    <xf numFmtId="165" fontId="0" fillId="0" borderId="4" applyAlignment="1" applyProtection="1" pivotButton="0" quotePrefix="0" xfId="0">
      <alignment vertical="center"/>
      <protection locked="0" hidden="0"/>
    </xf>
    <xf numFmtId="166" fontId="0" fillId="0" borderId="3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0" fontId="0" fillId="0" borderId="0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166" fontId="0" fillId="0" borderId="10" applyAlignment="1" applyProtection="1" pivotButton="0" quotePrefix="0" xfId="0">
      <alignment vertical="center"/>
      <protection locked="0" hidden="0"/>
    </xf>
    <xf numFmtId="166" fontId="0" fillId="0" borderId="11" applyAlignment="1" applyProtection="1" pivotButton="0" quotePrefix="0" xfId="0">
      <alignment vertical="center"/>
      <protection locked="0" hidden="0"/>
    </xf>
    <xf numFmtId="167" fontId="0" fillId="0" borderId="3" applyAlignment="1" applyProtection="1" pivotButton="0" quotePrefix="0" xfId="0">
      <alignment vertical="center"/>
      <protection locked="0" hidden="0"/>
    </xf>
    <xf numFmtId="167" fontId="0" fillId="0" borderId="4" applyAlignment="1" applyProtection="1" pivotButton="0" quotePrefix="0" xfId="0">
      <alignment vertical="center"/>
      <protection locked="0" hidden="0"/>
    </xf>
    <xf numFmtId="164" fontId="0" fillId="0" borderId="9" applyAlignment="1" applyProtection="1" pivotButton="0" quotePrefix="0" xfId="0">
      <alignment vertical="center"/>
      <protection locked="0" hidden="0"/>
    </xf>
    <xf numFmtId="164" fontId="0" fillId="0" borderId="8" applyAlignment="1" applyProtection="1" pivotButton="0" quotePrefix="0" xfId="0">
      <alignment vertical="center"/>
      <protection locked="0" hidden="0"/>
    </xf>
    <xf numFmtId="0" fontId="5" fillId="3" borderId="5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6" fillId="3" borderId="12" applyAlignment="1" pivotButton="0" quotePrefix="0" xfId="0">
      <alignment horizontal="center" vertical="center"/>
    </xf>
    <xf numFmtId="0" fontId="0" fillId="0" borderId="5" applyAlignment="1" applyProtection="1" pivotButton="0" quotePrefix="0" xfId="0">
      <alignment vertical="center"/>
      <protection locked="0" hidden="0"/>
    </xf>
    <xf numFmtId="0" fontId="0" fillId="0" borderId="4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0" fontId="0" fillId="0" borderId="0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  <xf numFmtId="0" fontId="6" fillId="0" borderId="12" applyAlignment="1" pivotButton="0" quotePrefix="0" xfId="0">
      <alignment horizontal="center" vertical="center"/>
    </xf>
    <xf numFmtId="0" fontId="0" fillId="4" borderId="12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4" fillId="2" borderId="12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12" applyAlignment="1" pivotButton="0" quotePrefix="0" xfId="0">
      <alignment vertical="center"/>
    </xf>
    <xf numFmtId="164" fontId="0" fillId="0" borderId="6" applyAlignment="1" applyProtection="1" pivotButton="0" quotePrefix="0" xfId="0">
      <alignment vertical="center"/>
      <protection locked="0" hidden="0"/>
    </xf>
    <xf numFmtId="0" fontId="0" fillId="0" borderId="6" applyProtection="1" pivotButton="0" quotePrefix="0" xfId="0">
      <protection locked="0" hidden="0"/>
    </xf>
    <xf numFmtId="0" fontId="0" fillId="0" borderId="16" applyAlignment="1" pivotButton="0" quotePrefix="0" xfId="0">
      <alignment vertical="center"/>
    </xf>
    <xf numFmtId="0" fontId="0" fillId="0" borderId="8" pivotButton="0" quotePrefix="0" xfId="0"/>
    <xf numFmtId="0" fontId="0" fillId="0" borderId="8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164" fontId="0" fillId="0" borderId="4" applyAlignment="1" applyProtection="1" pivotButton="0" quotePrefix="0" xfId="0">
      <alignment vertical="center"/>
      <protection locked="0" hidden="0"/>
    </xf>
    <xf numFmtId="165" fontId="0" fillId="0" borderId="4" applyAlignment="1" applyProtection="1" pivotButton="0" quotePrefix="0" xfId="0">
      <alignment vertical="center"/>
      <protection locked="0" hidden="0"/>
    </xf>
    <xf numFmtId="166" fontId="0" fillId="0" borderId="4" applyAlignment="1" applyProtection="1" pivotButton="0" quotePrefix="0" xfId="0">
      <alignment vertical="center"/>
      <protection locked="0" hidden="0"/>
    </xf>
    <xf numFmtId="166" fontId="0" fillId="0" borderId="11" applyAlignment="1" applyProtection="1" pivotButton="0" quotePrefix="0" xfId="0">
      <alignment vertical="center"/>
      <protection locked="0" hidden="0"/>
    </xf>
    <xf numFmtId="0" fontId="0" fillId="0" borderId="11" applyProtection="1" pivotButton="0" quotePrefix="0" xfId="0">
      <protection locked="0" hidden="0"/>
    </xf>
    <xf numFmtId="167" fontId="0" fillId="0" borderId="4" applyAlignment="1" applyProtection="1" pivotButton="0" quotePrefix="0" xfId="0">
      <alignment vertical="center"/>
      <protection locked="0" hidden="0"/>
    </xf>
    <xf numFmtId="164" fontId="0" fillId="0" borderId="8" applyAlignment="1" applyProtection="1" pivotButton="0" quotePrefix="0" xfId="0">
      <alignment vertical="center"/>
      <protection locked="0" hidden="0"/>
    </xf>
    <xf numFmtId="0" fontId="5" fillId="3" borderId="12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7" pivotButton="0" quotePrefix="0" xfId="0"/>
    <xf numFmtId="0" fontId="0" fillId="0" borderId="16" pivotButton="0" quotePrefix="0" xfId="0"/>
    <xf numFmtId="0" fontId="0" fillId="0" borderId="12" applyAlignment="1" applyProtection="1" pivotButton="0" quotePrefix="0" xfId="0">
      <alignment vertical="center"/>
      <protection locked="0" hidden="0"/>
    </xf>
    <xf numFmtId="164" fontId="0" fillId="0" borderId="12" applyAlignment="1" applyProtection="1" pivotButton="0" quotePrefix="0" xfId="0">
      <alignment vertical="center"/>
      <protection locked="0" hidden="0"/>
    </xf>
    <xf numFmtId="164" fontId="0" fillId="0" borderId="0" applyAlignment="1" applyProtection="1" pivotButton="0" quotePrefix="0" xfId="0">
      <alignment vertical="center"/>
      <protection locked="0" hidden="0"/>
    </xf>
  </cellXfs>
  <cellStyles count="2">
    <cellStyle name="常规" xfId="0" builtinId="0"/>
    <cellStyle name="百分比" xfId="1" builtinId="5"/>
  </cellStyles>
  <dxfs count="2">
    <dxf>
      <font>
        <strike val="0"/>
        <color indexed="9"/>
      </font>
      <fill>
        <patternFill patternType="solid">
          <bgColor indexed="9"/>
        </patternFill>
      </fill>
    </dxf>
    <dxf>
      <font>
        <strike val="0"/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K27"/>
  <sheetViews>
    <sheetView tabSelected="1" workbookViewId="0">
      <selection activeCell="N14" sqref="N14"/>
    </sheetView>
  </sheetViews>
  <sheetFormatPr baseColWidth="8" defaultColWidth="8" defaultRowHeight="14.25"/>
  <cols>
    <col width="2.875" customWidth="1" style="48" min="1" max="1"/>
    <col width="7.625" customWidth="1" style="48" min="2" max="2"/>
    <col width="15.5" customWidth="1" style="48" min="3" max="3"/>
    <col width="16.375" customWidth="1" style="48" min="4" max="4"/>
    <col width="12.75" customWidth="1" style="48" min="5" max="5"/>
    <col width="10.75" customWidth="1" style="48" min="7" max="7"/>
    <col width="13.875" customWidth="1" style="48" min="8" max="8"/>
    <col width="2.625" customWidth="1" style="48" min="9" max="9"/>
    <col width="24" customWidth="1" style="48" min="11" max="11"/>
  </cols>
  <sheetData>
    <row r="1" ht="20.25" customHeight="1" s="48">
      <c r="A1" s="1" t="inlineStr">
        <is>
          <t>Loan Amortization Schedule</t>
        </is>
      </c>
    </row>
    <row r="2">
      <c r="A2" s="42" t="n"/>
      <c r="B2" s="42" t="n"/>
      <c r="C2" s="42" t="n"/>
      <c r="D2" s="42" t="n"/>
      <c r="E2" s="42" t="n"/>
      <c r="F2" s="42" t="n"/>
      <c r="G2" s="42" t="n"/>
      <c r="H2" s="42" t="n"/>
      <c r="I2" s="42" t="n"/>
      <c r="J2" s="42" t="n"/>
      <c r="K2" s="42" t="n"/>
    </row>
    <row r="4">
      <c r="A4" s="49" t="inlineStr">
        <is>
          <t>Inputs</t>
        </is>
      </c>
      <c r="B4" s="50" t="n"/>
      <c r="C4" s="50" t="n"/>
      <c r="D4" s="50" t="n"/>
      <c r="E4" s="51" t="n"/>
      <c r="H4" s="49" t="inlineStr">
        <is>
          <t>Summary</t>
        </is>
      </c>
      <c r="I4" s="50" t="n"/>
      <c r="J4" s="50" t="n"/>
      <c r="K4" s="51" t="n"/>
    </row>
    <row r="5">
      <c r="A5" s="52" t="inlineStr">
        <is>
          <t>Loan Amount</t>
        </is>
      </c>
      <c r="B5" s="50" t="n"/>
      <c r="C5" s="51" t="n"/>
      <c r="D5" s="53" t="n"/>
      <c r="E5" s="54" t="n"/>
      <c r="H5" s="55" t="inlineStr">
        <is>
          <t>Rate(per period)</t>
        </is>
      </c>
      <c r="I5" s="56" t="n"/>
      <c r="J5" s="16">
        <f>IF(Interest_Rate,Interest_Rate/12,"")</f>
        <v/>
      </c>
      <c r="K5" s="57" t="n"/>
    </row>
    <row r="6">
      <c r="A6" s="52" t="inlineStr">
        <is>
          <t>Annual Interest Rate</t>
        </is>
      </c>
      <c r="B6" s="50" t="n"/>
      <c r="C6" s="51" t="n"/>
      <c r="D6" s="18" t="n"/>
      <c r="E6" s="58" t="n"/>
      <c r="H6" s="52" t="inlineStr">
        <is>
          <t>Payment(per period)</t>
        </is>
      </c>
      <c r="I6" s="51" t="n"/>
      <c r="J6" s="59">
        <f>IF(Loan_Amount,-PMT(Interest_Rate/Num_Pmt_Per_Year,Loan_Years*Num_Pmt_Per_Year,Loan_Amount),"")</f>
        <v/>
      </c>
      <c r="K6" s="58" t="n"/>
    </row>
    <row r="7">
      <c r="A7" s="52" t="inlineStr">
        <is>
          <t>Term of Loan in Years</t>
        </is>
      </c>
      <c r="B7" s="50" t="n"/>
      <c r="C7" s="51" t="n"/>
      <c r="D7" s="60" t="n"/>
      <c r="E7" s="58" t="n"/>
      <c r="H7" s="52" t="inlineStr">
        <is>
          <t>Total Payments</t>
        </is>
      </c>
      <c r="I7" s="51" t="n"/>
      <c r="J7" s="59">
        <f>IF(AND(Pay_Num&lt;&gt;"",Pmt_Due+Add_Pmt&lt;Beg_Bal),Pmt_Due+Add_Pmt,IF(Pay_Num&lt;&gt;"",Beg_Bal,""))</f>
        <v/>
      </c>
      <c r="K7" s="58" t="n"/>
    </row>
    <row r="8">
      <c r="A8" s="52" t="inlineStr">
        <is>
          <t>First Payment Date</t>
        </is>
      </c>
      <c r="B8" s="50" t="n"/>
      <c r="C8" s="51" t="n"/>
      <c r="D8" s="61" t="n"/>
      <c r="E8" s="58" t="n"/>
      <c r="H8" s="42" t="n"/>
      <c r="I8" s="42" t="n"/>
      <c r="J8" s="43" t="n"/>
      <c r="K8" s="43" t="n"/>
    </row>
    <row r="9">
      <c r="A9" s="52" t="inlineStr">
        <is>
          <t>Number of Payments Per Year</t>
        </is>
      </c>
      <c r="B9" s="50" t="n"/>
      <c r="C9" s="51" t="n"/>
      <c r="D9" s="60" t="n"/>
      <c r="E9" s="58" t="n"/>
      <c r="H9" s="52" t="inlineStr">
        <is>
          <t>Total Interest</t>
        </is>
      </c>
      <c r="I9" s="51" t="n"/>
      <c r="J9" s="59">
        <f>IF(SUM(H15:H24),SUM(H15:H24),"")</f>
        <v/>
      </c>
      <c r="K9" s="58" t="n"/>
    </row>
    <row r="10">
      <c r="A10" s="52" t="inlineStr">
        <is>
          <t>Start Date of Loan</t>
        </is>
      </c>
      <c r="B10" s="50" t="n"/>
      <c r="C10" s="51" t="n"/>
      <c r="D10" s="62" t="n"/>
      <c r="E10" s="63" t="n"/>
      <c r="H10" s="52" t="inlineStr">
        <is>
          <t>Number of Payments</t>
        </is>
      </c>
      <c r="I10" s="51" t="n"/>
      <c r="J10" s="64">
        <f>IF(AND(Loan_Years,Num_Pmt_Per_Year),Loan_Years*Num_Pmt_Per_Year,"")</f>
        <v/>
      </c>
      <c r="K10" s="58" t="n"/>
    </row>
    <row r="11">
      <c r="A11" s="52" t="inlineStr">
        <is>
          <t>Optionally Additional Payment</t>
        </is>
      </c>
      <c r="B11" s="50" t="n"/>
      <c r="C11" s="51" t="n"/>
      <c r="D11" s="65" t="n"/>
      <c r="E11" s="57" t="n"/>
      <c r="H11" s="42" t="n"/>
      <c r="I11" s="42" t="n"/>
      <c r="J11" s="42" t="n"/>
      <c r="K11" s="42" t="n"/>
    </row>
    <row r="13" ht="12" customHeight="1" s="48">
      <c r="A13" s="66" t="inlineStr">
        <is>
          <t>Payment No.</t>
        </is>
      </c>
      <c r="B13" s="67" t="n"/>
      <c r="C13" s="35" t="inlineStr">
        <is>
          <t>Due Date</t>
        </is>
      </c>
      <c r="D13" s="36" t="inlineStr">
        <is>
          <t>Beginning Balance</t>
        </is>
      </c>
      <c r="E13" s="36" t="inlineStr">
        <is>
          <t>Payment Due</t>
        </is>
      </c>
      <c r="F13" s="36" t="inlineStr">
        <is>
          <t>Additional Payment</t>
        </is>
      </c>
      <c r="G13" s="67" t="n"/>
      <c r="H13" s="36" t="inlineStr">
        <is>
          <t>Interest</t>
        </is>
      </c>
      <c r="I13" s="36" t="inlineStr">
        <is>
          <t xml:space="preserve">Principal </t>
        </is>
      </c>
      <c r="J13" s="67" t="n"/>
      <c r="K13" s="36" t="inlineStr">
        <is>
          <t>Ending Balance</t>
        </is>
      </c>
    </row>
    <row r="14" ht="12" customHeight="1" s="48">
      <c r="A14" s="68" t="n"/>
      <c r="B14" s="56" t="n"/>
      <c r="C14" s="56" t="n"/>
      <c r="D14" s="69" t="n"/>
      <c r="E14" s="69" t="n"/>
      <c r="F14" s="68" t="n"/>
      <c r="G14" s="56" t="n"/>
      <c r="H14" s="69" t="n"/>
      <c r="I14" s="68" t="n"/>
      <c r="J14" s="56" t="n"/>
      <c r="K14" s="69" t="n"/>
    </row>
    <row r="15">
      <c r="A15" s="70" t="n">
        <v>1</v>
      </c>
      <c r="B15" s="58" t="n"/>
      <c r="C15" s="61" t="n"/>
      <c r="D15" s="71">
        <f>IF(Loan_Amount,Loan_Amount,0)</f>
        <v/>
      </c>
      <c r="E15" s="71">
        <f>IF(Pmt_Per_Period,Pmt_Per_Period,"")</f>
        <v/>
      </c>
      <c r="F15" s="71">
        <f>IF(Pmt_Due+Optional_Extra_Pmt&lt;Beg_Bal,Optional_Extra_Pmt,IF(Beg_Bal-Pmt_Due&gt;0,Beg_Bal-Pmt_Due,""))</f>
        <v/>
      </c>
      <c r="G15" s="58" t="n"/>
      <c r="H15" s="71">
        <f>IF(AND(Beg_Bal,Interest_Rate,Num_Pmt_Per_Year),Beg_Bal*Interest_Rate/Num_Pmt_Per_Year,"")</f>
        <v/>
      </c>
      <c r="I15" s="71">
        <f>IF(AND(J7,H15),J7-H15,"")</f>
        <v/>
      </c>
      <c r="J15" s="58" t="n"/>
      <c r="K15" s="71">
        <f>IF(Pmt_Due+Add_Pmt&lt;Beg_Bal,Beg_Bal-Principal,"")</f>
        <v/>
      </c>
    </row>
    <row r="16">
      <c r="A16" s="70" t="n">
        <v>2</v>
      </c>
      <c r="B16" s="58" t="n"/>
      <c r="C16" s="61" t="n"/>
      <c r="D16" s="71">
        <f>IF(D15,D15,"")</f>
        <v/>
      </c>
      <c r="E16" s="71">
        <f>IF(Pmt_Per_Period,Pmt_Per_Period,"")</f>
        <v/>
      </c>
      <c r="F16" s="71">
        <f>IF(Pmt_Due+Optional_Extra_Pmt&lt;Beg_Bal,Optional_Extra_Pmt,IF(Beg_Bal-Pmt_Due&gt;0,Beg_Bal-Pmt_Due,""))</f>
        <v/>
      </c>
      <c r="G16" s="58" t="n"/>
      <c r="H16" s="71">
        <f>IF(AND(Beg_Bal,Interest_Rate,Num_Pmt_Per_Year),Beg_Bal*Interest_Rate/Num_Pmt_Per_Year,"")</f>
        <v/>
      </c>
      <c r="I16" s="71">
        <f>IF(AND(J7,H16),J7-H16,"")</f>
        <v/>
      </c>
      <c r="J16" s="58" t="n"/>
      <c r="K16" s="71">
        <f>IF(Pmt_Due+Add_Pmt&lt;Beg_Bal,Beg_Bal-Principal,"")</f>
        <v/>
      </c>
    </row>
    <row r="17">
      <c r="A17" s="70" t="n">
        <v>3</v>
      </c>
      <c r="B17" s="58" t="n"/>
      <c r="C17" s="61" t="n"/>
      <c r="D17" s="71">
        <f>IF(D16,D16,"")</f>
        <v/>
      </c>
      <c r="E17" s="71">
        <f>IF(Pmt_Per_Period,Pmt_Per_Period,"")</f>
        <v/>
      </c>
      <c r="F17" s="71">
        <f>IF(Pmt_Due+Optional_Extra_Pmt&lt;Beg_Bal,Optional_Extra_Pmt,IF(Beg_Bal-Pmt_Due&gt;0,Beg_Bal-Pmt_Due,""))</f>
        <v/>
      </c>
      <c r="G17" s="58" t="n"/>
      <c r="H17" s="71">
        <f>IF(AND(Beg_Bal,Interest_Rate,Num_Pmt_Per_Year),Beg_Bal*Interest_Rate/Num_Pmt_Per_Year,"")</f>
        <v/>
      </c>
      <c r="I17" s="71">
        <f>IF(AND(J7,H17),J7-H17,"")</f>
        <v/>
      </c>
      <c r="J17" s="58" t="n"/>
      <c r="K17" s="71">
        <f>IF(Pmt_Due+Add_Pmt&lt;Beg_Bal,Beg_Bal-Principal,"")</f>
        <v/>
      </c>
    </row>
    <row r="18">
      <c r="A18" s="70" t="n">
        <v>4</v>
      </c>
      <c r="B18" s="58" t="n"/>
      <c r="C18" s="61" t="n"/>
      <c r="D18" s="71">
        <f>IF(D17,D17,"")</f>
        <v/>
      </c>
      <c r="E18" s="71">
        <f>IF(Pmt_Per_Period,Pmt_Per_Period,"")</f>
        <v/>
      </c>
      <c r="F18" s="71">
        <f>IF(Pmt_Due+Optional_Extra_Pmt&lt;Beg_Bal,Optional_Extra_Pmt,IF(Beg_Bal-Pmt_Due&gt;0,Beg_Bal-Pmt_Due,""))</f>
        <v/>
      </c>
      <c r="G18" s="58" t="n"/>
      <c r="H18" s="71">
        <f>IF(AND(Beg_Bal,Interest_Rate,Num_Pmt_Per_Year),Beg_Bal*Interest_Rate/Num_Pmt_Per_Year,"")</f>
        <v/>
      </c>
      <c r="I18" s="71">
        <f>IF(AND(J7,H18),J7-H18,"")</f>
        <v/>
      </c>
      <c r="J18" s="58" t="n"/>
      <c r="K18" s="71">
        <f>IF(Pmt_Due+Add_Pmt&lt;Beg_Bal,Beg_Bal-Principal,"")</f>
        <v/>
      </c>
    </row>
    <row r="19">
      <c r="A19" s="70" t="n">
        <v>5</v>
      </c>
      <c r="B19" s="58" t="n"/>
      <c r="C19" s="61" t="n"/>
      <c r="D19" s="71">
        <f>IF(D18,D18,"")</f>
        <v/>
      </c>
      <c r="E19" s="71">
        <f>IF(Pmt_Per_Period,Pmt_Per_Period,"")</f>
        <v/>
      </c>
      <c r="F19" s="71">
        <f>IF(Pmt_Due+Optional_Extra_Pmt&lt;Beg_Bal,Optional_Extra_Pmt,IF(Beg_Bal-Pmt_Due&gt;0,Beg_Bal-Pmt_Due,""))</f>
        <v/>
      </c>
      <c r="G19" s="58" t="n"/>
      <c r="H19" s="71">
        <f>IF(AND(Beg_Bal,Interest_Rate,Num_Pmt_Per_Year),Beg_Bal*Interest_Rate/Num_Pmt_Per_Year,"")</f>
        <v/>
      </c>
      <c r="I19" s="71">
        <f>IF(AND(J7,H19),J7-H19,"")</f>
        <v/>
      </c>
      <c r="J19" s="58" t="n"/>
      <c r="K19" s="71">
        <f>IF(Pmt_Due+Add_Pmt&lt;Beg_Bal,Beg_Bal-Principal,"")</f>
        <v/>
      </c>
    </row>
    <row r="20">
      <c r="A20" s="70" t="n">
        <v>6</v>
      </c>
      <c r="B20" s="58" t="n"/>
      <c r="C20" s="61" t="n"/>
      <c r="D20" s="71">
        <f>IF(D19,D19,"")</f>
        <v/>
      </c>
      <c r="E20" s="71">
        <f>IF(Pmt_Per_Period,Pmt_Per_Period,"")</f>
        <v/>
      </c>
      <c r="F20" s="71">
        <f>IF(Pmt_Due+Optional_Extra_Pmt&lt;Beg_Bal,Optional_Extra_Pmt,IF(Beg_Bal-Pmt_Due&gt;0,Beg_Bal-Pmt_Due,""))</f>
        <v/>
      </c>
      <c r="G20" s="58" t="n"/>
      <c r="H20" s="71">
        <f>IF(AND(Beg_Bal,Interest_Rate,Num_Pmt_Per_Year),Beg_Bal*Interest_Rate/Num_Pmt_Per_Year,"")</f>
        <v/>
      </c>
      <c r="I20" s="71">
        <f>IF(AND(J7,H20),J7-H20,"")</f>
        <v/>
      </c>
      <c r="J20" s="58" t="n"/>
      <c r="K20" s="71">
        <f>IF(Pmt_Due+Add_Pmt&lt;Beg_Bal,Beg_Bal-Principal,"")</f>
        <v/>
      </c>
    </row>
    <row r="21">
      <c r="A21" s="70" t="n">
        <v>7</v>
      </c>
      <c r="B21" s="58" t="n"/>
      <c r="C21" s="61" t="n"/>
      <c r="D21" s="71">
        <f>IF(D20,D20,"")</f>
        <v/>
      </c>
      <c r="E21" s="71">
        <f>IF(Pmt_Per_Period,Pmt_Per_Period,"")</f>
        <v/>
      </c>
      <c r="F21" s="71">
        <f>IF(Pmt_Due+Optional_Extra_Pmt&lt;Beg_Bal,Optional_Extra_Pmt,IF(Beg_Bal-Pmt_Due&gt;0,Beg_Bal-Pmt_Due,""))</f>
        <v/>
      </c>
      <c r="G21" s="58" t="n"/>
      <c r="H21" s="71">
        <f>IF(AND(Beg_Bal,Interest_Rate,Num_Pmt_Per_Year),Beg_Bal*Interest_Rate/Num_Pmt_Per_Year,"")</f>
        <v/>
      </c>
      <c r="I21" s="71">
        <f>IF(AND(J7,H21),J7-H21,"")</f>
        <v/>
      </c>
      <c r="J21" s="58" t="n"/>
      <c r="K21" s="71">
        <f>IF(Pmt_Due+Add_Pmt&lt;Beg_Bal,Beg_Bal-Principal,"")</f>
        <v/>
      </c>
    </row>
    <row r="22">
      <c r="A22" s="70" t="n">
        <v>8</v>
      </c>
      <c r="B22" s="58" t="n"/>
      <c r="C22" s="61" t="n"/>
      <c r="D22" s="71">
        <f>IF(D21,D21,"")</f>
        <v/>
      </c>
      <c r="E22" s="71">
        <f>IF(Pmt_Per_Period,Pmt_Per_Period,"")</f>
        <v/>
      </c>
      <c r="F22" s="71">
        <f>IF(Pmt_Due+Optional_Extra_Pmt&lt;Beg_Bal,Optional_Extra_Pmt,IF(Beg_Bal-Pmt_Due&gt;0,Beg_Bal-Pmt_Due,""))</f>
        <v/>
      </c>
      <c r="G22" s="58" t="n"/>
      <c r="H22" s="71">
        <f>IF(AND(Beg_Bal,Interest_Rate,Num_Pmt_Per_Year),Beg_Bal*Interest_Rate/Num_Pmt_Per_Year,"")</f>
        <v/>
      </c>
      <c r="I22" s="71">
        <f>IF(AND(J7,H22),J7-H22,"")</f>
        <v/>
      </c>
      <c r="J22" s="58" t="n"/>
      <c r="K22" s="71">
        <f>IF(Pmt_Due+Add_Pmt&lt;Beg_Bal,Beg_Bal-Principal,"")</f>
        <v/>
      </c>
    </row>
    <row r="23">
      <c r="A23" s="70" t="n">
        <v>9</v>
      </c>
      <c r="B23" s="58" t="n"/>
      <c r="C23" s="61" t="n"/>
      <c r="D23" s="71">
        <f>IF(D22,D22,"")</f>
        <v/>
      </c>
      <c r="E23" s="71">
        <f>IF(Pmt_Per_Period,Pmt_Per_Period,"")</f>
        <v/>
      </c>
      <c r="F23" s="71">
        <f>IF(Pmt_Due+Optional_Extra_Pmt&lt;Beg_Bal,Optional_Extra_Pmt,IF(Beg_Bal-Pmt_Due&gt;0,Beg_Bal-Pmt_Due,""))</f>
        <v/>
      </c>
      <c r="G23" s="58" t="n"/>
      <c r="H23" s="71">
        <f>IF(AND(Beg_Bal,Interest_Rate,Num_Pmt_Per_Year),Beg_Bal*Interest_Rate/Num_Pmt_Per_Year,"")</f>
        <v/>
      </c>
      <c r="I23" s="71">
        <f>IF(AND(J7,H23),J7-H23,"")</f>
        <v/>
      </c>
      <c r="J23" s="58" t="n"/>
      <c r="K23" s="71">
        <f>IF(Pmt_Due+Add_Pmt&lt;Beg_Bal,Beg_Bal-Principal,"")</f>
        <v/>
      </c>
    </row>
    <row r="24">
      <c r="A24" s="70" t="n">
        <v>10</v>
      </c>
      <c r="B24" s="58" t="n"/>
      <c r="C24" s="61" t="n"/>
      <c r="D24" s="71">
        <f>IF(D23,D23,"")</f>
        <v/>
      </c>
      <c r="E24" s="71">
        <f>IF(Pmt_Per_Period,Pmt_Per_Period,"")</f>
        <v/>
      </c>
      <c r="F24" s="71">
        <f>IF(Pmt_Due+Optional_Extra_Pmt&lt;Beg_Bal,Optional_Extra_Pmt,IF(Beg_Bal-Pmt_Due&gt;0,Beg_Bal-Pmt_Due,""))</f>
        <v/>
      </c>
      <c r="G24" s="58" t="n"/>
      <c r="H24" s="71">
        <f>IF(AND(Beg_Bal,Interest_Rate,Num_Pmt_Per_Year),Beg_Bal*Interest_Rate/Num_Pmt_Per_Year,"")</f>
        <v/>
      </c>
      <c r="I24" s="71">
        <f>IF(AND(J7,H23),J7-H23,"")</f>
        <v/>
      </c>
      <c r="J24" s="58" t="n"/>
      <c r="K24" s="71">
        <f>IF(Pmt_Due+Add_Pmt&lt;Beg_Bal,Beg_Bal-Principal,"")</f>
        <v/>
      </c>
    </row>
    <row r="25">
      <c r="A25" s="42" t="n"/>
      <c r="B25" s="42" t="n"/>
      <c r="C25" s="43" t="n"/>
      <c r="D25" s="72" t="n"/>
      <c r="E25" s="72" t="n"/>
      <c r="F25" s="72" t="n"/>
      <c r="G25" s="72" t="n"/>
      <c r="H25" s="72" t="n"/>
      <c r="I25" s="72" t="n"/>
      <c r="J25" s="72" t="n"/>
      <c r="K25" s="72" t="n"/>
    </row>
    <row r="26">
      <c r="A26" s="42" t="n"/>
      <c r="B26" s="42" t="n"/>
      <c r="C26" s="42" t="n"/>
      <c r="D26" s="42" t="n"/>
      <c r="E26" s="42" t="n"/>
      <c r="F26" s="42" t="n"/>
      <c r="G26" s="42" t="n"/>
      <c r="H26" s="42" t="n"/>
      <c r="I26" s="42" t="n"/>
      <c r="J26" s="42" t="n"/>
      <c r="K26" s="46" t="inlineStr">
        <is>
          <t>Lender Name</t>
        </is>
      </c>
    </row>
    <row r="27">
      <c r="A27" s="42" t="n"/>
      <c r="B27" s="42" t="n"/>
      <c r="C27" s="42" t="n"/>
      <c r="D27" s="42" t="n"/>
      <c r="E27" s="42" t="n"/>
      <c r="F27" s="42" t="n"/>
      <c r="G27" s="42" t="n"/>
      <c r="H27" s="42" t="n"/>
      <c r="I27" s="42" t="n"/>
      <c r="J27" s="42" t="n"/>
      <c r="K27" s="47" t="n"/>
    </row>
  </sheetData>
  <mergeCells count="65">
    <mergeCell ref="A24:B24"/>
    <mergeCell ref="D10:E10"/>
    <mergeCell ref="A15:B15"/>
    <mergeCell ref="J5:K5"/>
    <mergeCell ref="F16:G16"/>
    <mergeCell ref="I15:J15"/>
    <mergeCell ref="H10:I10"/>
    <mergeCell ref="E13:E14"/>
    <mergeCell ref="F19:G19"/>
    <mergeCell ref="J10:K10"/>
    <mergeCell ref="F13:G14"/>
    <mergeCell ref="A1:K1"/>
    <mergeCell ref="H9:I9"/>
    <mergeCell ref="J9:K9"/>
    <mergeCell ref="I13:J14"/>
    <mergeCell ref="F21:G21"/>
    <mergeCell ref="D6:E6"/>
    <mergeCell ref="A13:B14"/>
    <mergeCell ref="A16:B16"/>
    <mergeCell ref="F24:G24"/>
    <mergeCell ref="H6:I6"/>
    <mergeCell ref="F15:G15"/>
    <mergeCell ref="I16:J16"/>
    <mergeCell ref="J6:K6"/>
    <mergeCell ref="D11:E11"/>
    <mergeCell ref="A8:C8"/>
    <mergeCell ref="D13:D14"/>
    <mergeCell ref="F20:G20"/>
    <mergeCell ref="F18:G18"/>
    <mergeCell ref="A5:C5"/>
    <mergeCell ref="I22:J22"/>
    <mergeCell ref="A18:B18"/>
    <mergeCell ref="F17:G17"/>
    <mergeCell ref="I18:J18"/>
    <mergeCell ref="I21:J21"/>
    <mergeCell ref="A10:C10"/>
    <mergeCell ref="H4:K4"/>
    <mergeCell ref="A21:B21"/>
    <mergeCell ref="H13:H14"/>
    <mergeCell ref="D7:E7"/>
    <mergeCell ref="I24:J24"/>
    <mergeCell ref="H7:I7"/>
    <mergeCell ref="F23:G23"/>
    <mergeCell ref="J7:K7"/>
    <mergeCell ref="K13:K14"/>
    <mergeCell ref="A9:C9"/>
    <mergeCell ref="I23:J23"/>
    <mergeCell ref="F22:G22"/>
    <mergeCell ref="A23:B23"/>
    <mergeCell ref="A17:B17"/>
    <mergeCell ref="D9:E9"/>
    <mergeCell ref="I17:J17"/>
    <mergeCell ref="A22:B22"/>
    <mergeCell ref="C13:C14"/>
    <mergeCell ref="D8:E8"/>
    <mergeCell ref="A20:B20"/>
    <mergeCell ref="A4:E4"/>
    <mergeCell ref="A11:C11"/>
    <mergeCell ref="I20:J20"/>
    <mergeCell ref="A19:B19"/>
    <mergeCell ref="A6:C6"/>
    <mergeCell ref="I19:J19"/>
    <mergeCell ref="D5:E5"/>
    <mergeCell ref="H5:I5"/>
    <mergeCell ref="A7:C7"/>
  </mergeCells>
  <conditionalFormatting sqref="E15">
    <cfRule type="cellIs" priority="1" operator="equal" dxfId="1" stopIfTrue="1">
      <formula>#VALUE!</formula>
    </cfRule>
  </conditionalFormatting>
  <conditionalFormatting sqref="D16:K24">
    <cfRule type="cellIs" priority="2" operator="equal" dxfId="0" stopIfTrue="1">
      <formula>#VALUE!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2019-03-27T07:20:04Z</dcterms:created>
  <dcterms:modified xsi:type="dcterms:W3CDTF">2025-07-21T10:00:40Z</dcterms:modified>
  <cp:lastModifiedBy/>
</cp:coreProperties>
</file>